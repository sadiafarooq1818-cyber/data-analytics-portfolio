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ff3f84792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52a67182b84677"/>
    <x:sheet xmlns:r="http://schemas.openxmlformats.org/officeDocument/2006/relationships" name="Sales_Data" sheetId="2" r:id="R8264451eb5d449f6"/>
    <x:sheet xmlns:r="http://schemas.openxmlformats.org/officeDocument/2006/relationships" name="KPI_Summary" sheetId="3" r:id="Rc93bf454c4664dc1"/>
    <x:sheet xmlns:r="http://schemas.openxmlformats.org/officeDocument/2006/relationships" name="Data_Dictionary" sheetId="4" r:id="R1957ac77357641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$#,##0"/>
    <x:numFmt numFmtId="202" formatCode="0%"/>
    <x:numFmt numFmtId="203" formatCode="0.0%"/>
    <x:numFmt numFmtId="204" formatCode="$#,##0.0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4E78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 applyAlignment="1">
      <x:alignment horizontal="center" vertical="center"/>
    </x:xf>
    <x:xf numFmtId="203" fontId="4" fillId="4" borderId="0" xfId="0" applyNumberFormat="1" applyFont="1" applyFill="1" applyBorder="1" applyAlignment="1">
      <x:alignment horizontal="center" vertical="center"/>
    </x:xf>
    <x:xf numFmtId="203" fontId="4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7e2073693b4741" /><Relationship Type="http://schemas.openxmlformats.org/officeDocument/2006/relationships/theme" Target="/xl/theme/theme1.xml" Id="R5219580eb6994634" /><Relationship Type="http://schemas.openxmlformats.org/officeDocument/2006/relationships/sharedStrings" Target="/xl/sharedStrings.xml" Id="Ra842cd9e3b374a53" /><Relationship Type="http://schemas.openxmlformats.org/officeDocument/2006/relationships/worksheet" Target="/xl/worksheets/sheet1.xml" Id="Rec52a67182b84677" /><Relationship Type="http://schemas.openxmlformats.org/officeDocument/2006/relationships/worksheet" Target="/xl/worksheets/sheet2.xml" Id="R8264451eb5d449f6" /><Relationship Type="http://schemas.openxmlformats.org/officeDocument/2006/relationships/worksheet" Target="/xl/worksheets/sheet3.xml" Id="Rc93bf454c4664dc1" /><Relationship Type="http://schemas.openxmlformats.org/officeDocument/2006/relationships/worksheet" Target="/xl/worksheets/sheet4.xml" Id="R1957ac77357641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58df56f5d44715" /><Relationship Type="http://schemas.openxmlformats.org/officeDocument/2006/relationships/chart" Target="/xl/drawings/charts/chart2.xml" Id="R76314b92512a495e" /><Relationship Type="http://schemas.openxmlformats.org/officeDocument/2006/relationships/chart" Target="/xl/drawings/charts/chart3.xml" Id="R670099568ae84d6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cat>
            <c:strRef>
              <c:f>'Dashboard'!$A$7:$A$11</c:f>
              <c:strCache>
                <c:ptCount val="0"/>
              </c:strCache>
            </c:strRef>
          </c:cat>
          <c:val>
            <c:numRef>
              <c:f>'Dashboard'!$B$7:$B$11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cat>
            <c:strRef>
              <c:f>'Dashboard'!$E$7:$E$9</c:f>
              <c:strCache>
                <c:ptCount val="0"/>
              </c:strCache>
            </c:strRef>
          </c:cat>
          <c:val>
            <c:numRef>
              <c:f>'Dashboard'!$F$7:$F$9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Sales</c:v>
          </c:tx>
          <c:cat>
            <c:strRef>
              <c:f>'Dashboard'!$A$23:$A$30</c:f>
              <c:strCache>
                <c:ptCount val="0"/>
              </c:strCache>
            </c:strRef>
          </c:cat>
          <c:val>
            <c:numRef>
              <c:f>'Dashboard'!$B$23:$B$30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cat>
            <c:strRef>
              <c:f>'Dashboard'!$A$23:$A$30</c:f>
              <c:strCache>
                <c:ptCount val="0"/>
              </c:strCache>
            </c:strRef>
          </c:cat>
          <c:val>
            <c:numRef>
              <c:f>'Dashboard'!$C$23:$C$30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58df56f5d44715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314b92512a495e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0099568ae84d6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O41" headerRowCount="1">
  <x:tableColumns count="15">
    <x:tableColumn id="1" name="Order ID"/>
    <x:tableColumn id="2" name="Order Date"/>
    <x:tableColumn id="3" name="Region"/>
    <x:tableColumn id="4" name="State"/>
    <x:tableColumn id="5" name="Customer Segment"/>
    <x:tableColumn id="6" name="Product Category"/>
    <x:tableColumn id="7" name="Product Name"/>
    <x:tableColumn id="8" name="Sales"/>
    <x:tableColumn id="9" name="Quantity"/>
    <x:tableColumn id="10" name="Discount"/>
    <x:tableColumn id="11" name="Profit"/>
    <x:tableColumn id="12" name="Month"/>
    <x:tableColumn id="13" name="Profit Margin"/>
    <x:tableColumn id="14" name="Average Order Value"/>
    <x:tableColumn id="15" name="Discount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927153ab6844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058fe204e81421c" /></Relationships>
</file>

<file path=xl/worksheets/sheet1.xml><?xml version="1.0" encoding="utf-8"?>
<x:worksheet xmlns:x="http://schemas.openxmlformats.org/spreadsheetml/2006/main">
  <x:sheetFormatPr defaultRowHeight="15"/>
  <x:cols>
    <x:col min="1" max="1" width="45.630001068115234" hidden="0" customWidth="1"/>
    <x:col min="2" max="2" width="5.630000114440918" hidden="0" customWidth="1"/>
    <x:col min="3" max="3" width="8.880000114440918" hidden="0" customWidth="1"/>
    <x:col min="5" max="5" width="11.5" hidden="0" customWidth="1"/>
    <x:col min="6" max="6" width="6.630000114440918" hidden="0" customWidth="1"/>
    <x:col min="7" max="7" width="5.75" hidden="0" customWidth="1"/>
  </x:cols>
  <x:sheetData>
    <x:row r="1" ht="32" customHeight="1">
      <x:c r="A1" s="32" t="str">
        <x:v>Retail Sales Performance Dashboard</x:v>
      </x:c>
    </x:row>
    <x:row r="3">
      <x:c r="A3" s="39" t="str">
        <x:v>Total Sales</x:v>
      </x:c>
      <x:c r="C3" s="39" t="str">
        <x:v>Total Profit</x:v>
      </x:c>
      <x:c r="E3" s="39" t="str">
        <x:v>Profit Margin</x:v>
      </x:c>
      <x:c r="G3" s="39" t="str">
        <x:v>Orders</x:v>
      </x:c>
    </x:row>
    <x:row r="4">
      <x:c r="A4" s="52" t="n">
        <x:f>KPI_Summary!B2</x:f>
        <x:v>28545</x:v>
      </x:c>
      <x:c r="B4" s="24"/>
      <x:c r="C4" s="52" t="n">
        <x:f>KPI_Summary!B3</x:f>
        <x:v>5326</x:v>
      </x:c>
      <x:c r="D4" s="24"/>
      <x:c r="E4" s="54" t="n">
        <x:f>KPI_Summary!B4</x:f>
        <x:v>0.18658258889472762</x:v>
      </x:c>
      <x:c r="F4" s="26"/>
      <x:c r="G4" s="47" t="n">
        <x:f>KPI_Summary!B5</x:f>
        <x:v>40</x:v>
      </x:c>
    </x:row>
    <x:row r="6">
      <x:c r="A6" s="5" t="str">
        <x:v>Region</x:v>
      </x:c>
      <x:c r="B6" s="5" t="str">
        <x:v>Sales</x:v>
      </x:c>
      <x:c r="C6" s="5" t="str">
        <x:v>Profit</x:v>
      </x:c>
      <x:c r="E6" s="5" t="str">
        <x:v>Category</x:v>
      </x:c>
      <x:c r="F6" s="5" t="str">
        <x:v>Sales</x:v>
      </x:c>
      <x:c r="G6" s="5" t="str">
        <x:v>Profit</x:v>
      </x:c>
    </x:row>
    <x:row r="7">
      <x:c r="A7" t="str">
        <x:f>KPI_Summary!D2</x:f>
        <x:v>NSW</x:v>
      </x:c>
      <x:c r="B7" s="24" t="n">
        <x:f>KPI_Summary!E2</x:f>
        <x:v>9690</x:v>
      </x:c>
      <x:c r="C7" s="24" t="n">
        <x:f>KPI_Summary!F2</x:f>
        <x:v>1676</x:v>
      </x:c>
      <x:c r="E7" t="str">
        <x:f>KPI_Summary!H2</x:f>
        <x:v>Technology</x:v>
      </x:c>
      <x:c r="F7" s="24" t="n">
        <x:f>KPI_Summary!I2</x:f>
        <x:v>17030</x:v>
      </x:c>
      <x:c r="G7" s="24" t="n">
        <x:f>KPI_Summary!J2</x:f>
        <x:v>3325</x:v>
      </x:c>
    </x:row>
    <x:row r="8">
      <x:c r="A8" t="str">
        <x:f>KPI_Summary!D3</x:f>
        <x:v>VIC</x:v>
      </x:c>
      <x:c r="B8" s="24" t="n">
        <x:f>KPI_Summary!E3</x:f>
        <x:v>4420</x:v>
      </x:c>
      <x:c r="C8" s="24" t="n">
        <x:f>KPI_Summary!F3</x:f>
        <x:v>931</x:v>
      </x:c>
      <x:c r="E8" t="str">
        <x:f>KPI_Summary!H3</x:f>
        <x:v>Furniture</x:v>
      </x:c>
      <x:c r="F8" s="24" t="n">
        <x:f>KPI_Summary!I3</x:f>
        <x:v>9670</x:v>
      </x:c>
      <x:c r="G8" s="24" t="n">
        <x:f>KPI_Summary!J3</x:f>
        <x:v>1523</x:v>
      </x:c>
    </x:row>
    <x:row r="9">
      <x:c r="A9" t="str">
        <x:f>KPI_Summary!D4</x:f>
        <x:v>QLD</x:v>
      </x:c>
      <x:c r="B9" s="24" t="n">
        <x:f>KPI_Summary!E4</x:f>
        <x:v>4360</x:v>
      </x:c>
      <x:c r="C9" s="24" t="n">
        <x:f>KPI_Summary!F4</x:f>
        <x:v>810</x:v>
      </x:c>
      <x:c r="E9" t="str">
        <x:f>KPI_Summary!H4</x:f>
        <x:v>Office Supplies</x:v>
      </x:c>
      <x:c r="F9" s="24" t="n">
        <x:f>KPI_Summary!I4</x:f>
        <x:v>1845</x:v>
      </x:c>
      <x:c r="G9" s="24" t="n">
        <x:f>KPI_Summary!J4</x:f>
        <x:v>478</x:v>
      </x:c>
    </x:row>
    <x:row r="10">
      <x:c r="A10" t="str">
        <x:f>KPI_Summary!D5</x:f>
        <x:v>SA</x:v>
      </x:c>
      <x:c r="B10" s="24" t="n">
        <x:f>KPI_Summary!E5</x:f>
        <x:v>1255</x:v>
      </x:c>
      <x:c r="C10" s="24" t="n">
        <x:f>KPI_Summary!F5</x:f>
        <x:v>238</x:v>
      </x:c>
    </x:row>
    <x:row r="11">
      <x:c r="A11" t="str">
        <x:f>KPI_Summary!D6</x:f>
        <x:v>WA</x:v>
      </x:c>
      <x:c r="B11" s="24" t="n">
        <x:f>KPI_Summary!E6</x:f>
        <x:v>8820</x:v>
      </x:c>
      <x:c r="C11" s="24" t="n">
        <x:f>KPI_Summary!F6</x:f>
        <x:v>1671</x:v>
      </x:c>
    </x:row>
    <x:row r="22">
      <x:c r="A22" s="5" t="str">
        <x:v>Month</x:v>
      </x:c>
      <x:c r="B22" s="5" t="str">
        <x:v>Sales</x:v>
      </x:c>
      <x:c r="C22" s="5" t="str">
        <x:v>Profit</x:v>
      </x:c>
    </x:row>
    <x:row r="23">
      <x:c r="A23" t="str">
        <x:f>KPI_Summary!L2</x:f>
        <x:v>Jan 2025</x:v>
      </x:c>
      <x:c r="B23" s="24" t="n">
        <x:f>KPI_Summary!M2</x:f>
        <x:v>2600</x:v>
      </x:c>
      <x:c r="C23" s="24" t="n">
        <x:f>KPI_Summary!N2</x:f>
        <x:v>465</x:v>
      </x:c>
    </x:row>
    <x:row r="24">
      <x:c r="A24" t="str">
        <x:f>KPI_Summary!L3</x:f>
        <x:v>Feb 2025</x:v>
      </x:c>
      <x:c r="B24" s="24" t="n">
        <x:f>KPI_Summary!M3</x:f>
        <x:v>2195</x:v>
      </x:c>
      <x:c r="C24" s="24" t="n">
        <x:f>KPI_Summary!N3</x:f>
        <x:v>415</x:v>
      </x:c>
    </x:row>
    <x:row r="25">
      <x:c r="A25" t="str">
        <x:f>KPI_Summary!L4</x:f>
        <x:v>Mar 2025</x:v>
      </x:c>
      <x:c r="B25" s="24" t="n">
        <x:f>KPI_Summary!M4</x:f>
        <x:v>3055</x:v>
      </x:c>
      <x:c r="C25" s="24" t="n">
        <x:f>KPI_Summary!N4</x:f>
        <x:v>634</x:v>
      </x:c>
    </x:row>
    <x:row r="26">
      <x:c r="A26" t="str">
        <x:f>KPI_Summary!L5</x:f>
        <x:v>Apr 2025</x:v>
      </x:c>
      <x:c r="B26" s="24" t="n">
        <x:f>KPI_Summary!M5</x:f>
        <x:v>5370</x:v>
      </x:c>
      <x:c r="C26" s="24" t="n">
        <x:f>KPI_Summary!N5</x:f>
        <x:v>933</x:v>
      </x:c>
    </x:row>
    <x:row r="27">
      <x:c r="A27" t="str">
        <x:f>KPI_Summary!L6</x:f>
        <x:v>May 2025</x:v>
      </x:c>
      <x:c r="B27" s="24" t="n">
        <x:f>KPI_Summary!M6</x:f>
        <x:v>3080</x:v>
      </x:c>
      <x:c r="C27" s="24" t="n">
        <x:f>KPI_Summary!N6</x:f>
        <x:v>580</x:v>
      </x:c>
    </x:row>
    <x:row r="28">
      <x:c r="A28" t="str">
        <x:f>KPI_Summary!L7</x:f>
        <x:v>Jun 2025</x:v>
      </x:c>
      <x:c r="B28" s="24" t="n">
        <x:f>KPI_Summary!M7</x:f>
        <x:v>6160</x:v>
      </x:c>
      <x:c r="C28" s="24" t="n">
        <x:f>KPI_Summary!N7</x:f>
        <x:v>1053</x:v>
      </x:c>
    </x:row>
    <x:row r="29">
      <x:c r="A29" t="str">
        <x:f>KPI_Summary!L8</x:f>
        <x:v>Jul 2025</x:v>
      </x:c>
      <x:c r="B29" s="24" t="n">
        <x:f>KPI_Summary!M8</x:f>
        <x:v>2875</x:v>
      </x:c>
      <x:c r="C29" s="24" t="n">
        <x:f>KPI_Summary!N8</x:f>
        <x:v>593</x:v>
      </x:c>
    </x:row>
    <x:row r="30">
      <x:c r="A30" t="str">
        <x:f>KPI_Summary!L9</x:f>
        <x:v>Aug 2025</x:v>
      </x:c>
      <x:c r="B30" s="24" t="n">
        <x:f>KPI_Summary!M9</x:f>
        <x:v>3210</x:v>
      </x:c>
      <x:c r="C30" s="24" t="n">
        <x:f>KPI_Summary!N9</x:f>
        <x:v>653</x:v>
      </x:c>
    </x:row>
  </x:sheetData>
  <x:mergeCells>
    <x:mergeCell ref="A1:H1"/>
    <x:mergeCell ref="A3:B3"/>
    <x:mergeCell ref="C3:D3"/>
    <x:mergeCell ref="E3:F3"/>
    <x:mergeCell ref="G3:H3"/>
    <x:mergeCell ref="A4:B4"/>
    <x:mergeCell ref="C4:D4"/>
    <x:mergeCell ref="E4:F4"/>
    <x:mergeCell ref="G4:H4"/>
  </x:mergeCells>
  <x:pageMargins left="0.7" right="0.7" top="0.75" bottom="0.75" header="0.3" footer="0.3"/>
  <x:drawing xmlns:r="http://schemas.openxmlformats.org/officeDocument/2006/relationships" r:id="R1b927153ab68441a"/>
</x:worksheet>
</file>

<file path=xl/worksheets/sheet2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9.130000114440918" hidden="0" customWidth="1"/>
    <x:col min="3" max="3" width="5.75" hidden="0" customWidth="1"/>
    <x:col min="4" max="4" width="13.75" hidden="0" customWidth="1"/>
    <x:col min="5" max="5" width="15" hidden="0" customWidth="1"/>
    <x:col min="6" max="6" width="13.630000114440918" hidden="0" customWidth="1"/>
    <x:col min="7" max="7" width="19.25" hidden="0" customWidth="1"/>
    <x:col min="8" max="8" width="5.630000114440918" hidden="0" customWidth="1"/>
    <x:col min="9" max="9" width="7.25" hidden="0" customWidth="1"/>
    <x:col min="10" max="10" width="7.25" hidden="0" customWidth="1"/>
    <x:col min="11" max="11" width="4.75" hidden="0" customWidth="1"/>
    <x:col min="12" max="12" width="7.880000114440918" hidden="0" customWidth="1"/>
    <x:col min="13" max="13" width="10.630000114440918" hidden="0" customWidth="1"/>
    <x:col min="14" max="14" width="16.1299991607666" hidden="0" customWidth="1"/>
    <x:col min="15" max="15" width="10.75" hidden="0" customWidth="1"/>
  </x:cols>
  <x:sheetData>
    <x:row r="1">
      <x:c r="A1" s="10" t="str">
        <x:v>Order ID</x:v>
      </x:c>
      <x:c r="B1" s="10" t="str">
        <x:v>Order Date</x:v>
      </x:c>
      <x:c r="C1" s="10" t="str">
        <x:v>Region</x:v>
      </x:c>
      <x:c r="D1" s="10" t="str">
        <x:v>State</x:v>
      </x:c>
      <x:c r="E1" s="10" t="str">
        <x:v>Customer Segment</x:v>
      </x:c>
      <x:c r="F1" s="10" t="str">
        <x:v>Product Category</x:v>
      </x:c>
      <x:c r="G1" s="10" t="str">
        <x:v>Product Name</x:v>
      </x:c>
      <x:c r="H1" s="10" t="str">
        <x:v>Sales</x:v>
      </x:c>
      <x:c r="I1" s="10" t="str">
        <x:v>Quantity</x:v>
      </x:c>
      <x:c r="J1" s="10" t="str">
        <x:v>Discount</x:v>
      </x:c>
      <x:c r="K1" s="10" t="str">
        <x:v>Profit</x:v>
      </x:c>
      <x:c r="L1" s="10" t="str">
        <x:v>Month</x:v>
      </x:c>
      <x:c r="M1" s="10" t="str">
        <x:v>Profit Margin</x:v>
      </x:c>
      <x:c r="N1" s="10" t="str">
        <x:v>Average Order Value</x:v>
      </x:c>
      <x:c r="O1" s="10" t="str">
        <x:v>Discount Flag</x:v>
      </x:c>
    </x:row>
    <x:row r="2">
      <x:c r="A2" s="11" t="str">
        <x:v>ORD-1001</x:v>
      </x:c>
      <x:c r="B2" s="14" t="n">
        <x:v>45662</x:v>
      </x:c>
      <x:c r="C2" s="11" t="str">
        <x:v>NSW</x:v>
      </x:c>
      <x:c r="D2" s="11" t="str">
        <x:v>New South Wales</x:v>
      </x:c>
      <x:c r="E2" s="11" t="str">
        <x:v>Consumer</x:v>
      </x:c>
      <x:c r="F2" s="11" t="str">
        <x:v>Technology</x:v>
      </x:c>
      <x:c r="G2" s="11" t="str">
        <x:v>Laptop Stand</x:v>
      </x:c>
      <x:c r="H2" s="16" t="n">
        <x:v>240</x:v>
      </x:c>
      <x:c r="I2" s="11" t="n">
        <x:v>3</x:v>
      </x:c>
      <x:c r="J2" s="18" t="n">
        <x:v>0.05</x:v>
      </x:c>
      <x:c r="K2" s="16" t="n">
        <x:v>54</x:v>
      </x:c>
      <x:c r="L2" s="11" t="str">
        <x:f>TEXT(B2,"mmm yyyy")</x:f>
        <x:v>Jan 2025</x:v>
      </x:c>
      <x:c r="M2" s="20" t="n">
        <x:f>K2/H2</x:f>
        <x:v>0.225</x:v>
      </x:c>
      <x:c r="N2" s="22" t="n">
        <x:f>H2/I2</x:f>
        <x:v>80</x:v>
      </x:c>
      <x:c r="O2" s="11" t="str">
        <x:f>IF(J2&gt;=0.1,"High discount","Normal")</x:f>
        <x:v>Normal</x:v>
      </x:c>
    </x:row>
    <x:row r="3">
      <x:c r="A3" s="11" t="str">
        <x:v>ORD-1002</x:v>
      </x:c>
      <x:c r="B3" s="14" t="n">
        <x:v>45664</x:v>
      </x:c>
      <x:c r="C3" s="11" t="str">
        <x:v>VIC</x:v>
      </x:c>
      <x:c r="D3" s="11" t="str">
        <x:v>Victoria</x:v>
      </x:c>
      <x:c r="E3" s="11" t="str">
        <x:v>Corporate</x:v>
      </x:c>
      <x:c r="F3" s="11" t="str">
        <x:v>Furniture</x:v>
      </x:c>
      <x:c r="G3" s="11" t="str">
        <x:v>Office Chair</x:v>
      </x:c>
      <x:c r="H3" s="16" t="n">
        <x:v>680</x:v>
      </x:c>
      <x:c r="I3" s="11" t="n">
        <x:v>4</x:v>
      </x:c>
      <x:c r="J3" s="18" t="n">
        <x:v>0.1</x:v>
      </x:c>
      <x:c r="K3" s="16" t="n">
        <x:v>95</x:v>
      </x:c>
      <x:c r="L3" s="11" t="str">
        <x:f>TEXT(B3,"mmm yyyy")</x:f>
        <x:v>Jan 2025</x:v>
      </x:c>
      <x:c r="M3" s="20" t="n">
        <x:f>K3/H3</x:f>
        <x:v>0.13970588235294118</x:v>
      </x:c>
      <x:c r="N3" s="22" t="n">
        <x:f>H3/I3</x:f>
        <x:v>170</x:v>
      </x:c>
      <x:c r="O3" s="11" t="str">
        <x:f>IF(J3&gt;=0.1,"High discount","Normal")</x:f>
        <x:v>High discount</x:v>
      </x:c>
    </x:row>
    <x:row r="4">
      <x:c r="A4" s="11" t="str">
        <x:v>ORD-1003</x:v>
      </x:c>
      <x:c r="B4" s="14" t="n">
        <x:v>45667</x:v>
      </x:c>
      <x:c r="C4" s="11" t="str">
        <x:v>QLD</x:v>
      </x:c>
      <x:c r="D4" s="11" t="str">
        <x:v>Queensland</x:v>
      </x:c>
      <x:c r="E4" s="11" t="str">
        <x:v>Consumer</x:v>
      </x:c>
      <x:c r="F4" s="11" t="str">
        <x:v>Office Supplies</x:v>
      </x:c>
      <x:c r="G4" s="11" t="str">
        <x:v>Printer Paper</x:v>
      </x:c>
      <x:c r="H4" s="16" t="n">
        <x:v>120</x:v>
      </x:c>
      <x:c r="I4" s="11" t="n">
        <x:v>10</x:v>
      </x:c>
      <x:c r="J4" s="18" t="n">
        <x:v>0</x:v>
      </x:c>
      <x:c r="K4" s="16" t="n">
        <x:v>32</x:v>
      </x:c>
      <x:c r="L4" s="11" t="str">
        <x:f>TEXT(B4,"mmm yyyy")</x:f>
        <x:v>Jan 2025</x:v>
      </x:c>
      <x:c r="M4" s="20" t="n">
        <x:f>K4/H4</x:f>
        <x:v>0.26666666666666666</x:v>
      </x:c>
      <x:c r="N4" s="22" t="n">
        <x:f>H4/I4</x:f>
        <x:v>12</x:v>
      </x:c>
      <x:c r="O4" s="11" t="str">
        <x:f>IF(J4&gt;=0.1,"High discount","Normal")</x:f>
        <x:v>Normal</x:v>
      </x:c>
    </x:row>
    <x:row r="5">
      <x:c r="A5" s="11" t="str">
        <x:v>ORD-1004</x:v>
      </x:c>
      <x:c r="B5" s="14" t="n">
        <x:v>45671</x:v>
      </x:c>
      <x:c r="C5" s="11" t="str">
        <x:v>NSW</x:v>
      </x:c>
      <x:c r="D5" s="11" t="str">
        <x:v>New South Wales</x:v>
      </x:c>
      <x:c r="E5" s="11" t="str">
        <x:v>Small Business</x:v>
      </x:c>
      <x:c r="F5" s="11" t="str">
        <x:v>Technology</x:v>
      </x:c>
      <x:c r="G5" s="11" t="str">
        <x:v>Wireless Mouse</x:v>
      </x:c>
      <x:c r="H5" s="16" t="n">
        <x:v>310</x:v>
      </x:c>
      <x:c r="I5" s="11" t="n">
        <x:v>8</x:v>
      </x:c>
      <x:c r="J5" s="18" t="n">
        <x:v>0.05</x:v>
      </x:c>
      <x:c r="K5" s="16" t="n">
        <x:v>74</x:v>
      </x:c>
      <x:c r="L5" s="11" t="str">
        <x:f>TEXT(B5,"mmm yyyy")</x:f>
        <x:v>Jan 2025</x:v>
      </x:c>
      <x:c r="M5" s="20" t="n">
        <x:f>K5/H5</x:f>
        <x:v>0.23870967741935484</x:v>
      </x:c>
      <x:c r="N5" s="22" t="n">
        <x:f>H5/I5</x:f>
        <x:v>38.75</x:v>
      </x:c>
      <x:c r="O5" s="11" t="str">
        <x:f>IF(J5&gt;=0.1,"High discount","Normal")</x:f>
        <x:v>Normal</x:v>
      </x:c>
    </x:row>
    <x:row r="6">
      <x:c r="A6" s="11" t="str">
        <x:v>ORD-1005</x:v>
      </x:c>
      <x:c r="B6" s="14" t="n">
        <x:v>45675</x:v>
      </x:c>
      <x:c r="C6" s="11" t="str">
        <x:v>WA</x:v>
      </x:c>
      <x:c r="D6" s="11" t="str">
        <x:v>Western Australia</x:v>
      </x:c>
      <x:c r="E6" s="11" t="str">
        <x:v>Corporate</x:v>
      </x:c>
      <x:c r="F6" s="11" t="str">
        <x:v>Furniture</x:v>
      </x:c>
      <x:c r="G6" s="11" t="str">
        <x:v>Standing Desk</x:v>
      </x:c>
      <x:c r="H6" s="16" t="n">
        <x:v>1250</x:v>
      </x:c>
      <x:c r="I6" s="11" t="n">
        <x:v>5</x:v>
      </x:c>
      <x:c r="J6" s="18" t="n">
        <x:v>0.15</x:v>
      </x:c>
      <x:c r="K6" s="16" t="n">
        <x:v>210</x:v>
      </x:c>
      <x:c r="L6" s="11" t="str">
        <x:f>TEXT(B6,"mmm yyyy")</x:f>
        <x:v>Jan 2025</x:v>
      </x:c>
      <x:c r="M6" s="20" t="n">
        <x:f>K6/H6</x:f>
        <x:v>0.168</x:v>
      </x:c>
      <x:c r="N6" s="22" t="n">
        <x:f>H6/I6</x:f>
        <x:v>250</x:v>
      </x:c>
      <x:c r="O6" s="11" t="str">
        <x:f>IF(J6&gt;=0.1,"High discount","Normal")</x:f>
        <x:v>High discount</x:v>
      </x:c>
    </x:row>
    <x:row r="7">
      <x:c r="A7" s="11" t="str">
        <x:v>ORD-1006</x:v>
      </x:c>
      <x:c r="B7" s="14" t="n">
        <x:v>45690</x:v>
      </x:c>
      <x:c r="C7" s="11" t="str">
        <x:v>VIC</x:v>
      </x:c>
      <x:c r="D7" s="11" t="str">
        <x:v>Victoria</x:v>
      </x:c>
      <x:c r="E7" s="11" t="str">
        <x:v>Consumer</x:v>
      </x:c>
      <x:c r="F7" s="11" t="str">
        <x:v>Technology</x:v>
      </x:c>
      <x:c r="G7" s="11" t="str">
        <x:v>USB-C Hub</x:v>
      </x:c>
      <x:c r="H7" s="16" t="n">
        <x:v>450</x:v>
      </x:c>
      <x:c r="I7" s="11" t="n">
        <x:v>9</x:v>
      </x:c>
      <x:c r="J7" s="18" t="n">
        <x:v>0.05</x:v>
      </x:c>
      <x:c r="K7" s="16" t="n">
        <x:v>118</x:v>
      </x:c>
      <x:c r="L7" s="11" t="str">
        <x:f>TEXT(B7,"mmm yyyy")</x:f>
        <x:v>Feb 2025</x:v>
      </x:c>
      <x:c r="M7" s="20" t="n">
        <x:f>K7/H7</x:f>
        <x:v>0.26222222222222225</x:v>
      </x:c>
      <x:c r="N7" s="22" t="n">
        <x:f>H7/I7</x:f>
        <x:v>50</x:v>
      </x:c>
      <x:c r="O7" s="11" t="str">
        <x:f>IF(J7&gt;=0.1,"High discount","Normal")</x:f>
        <x:v>Normal</x:v>
      </x:c>
    </x:row>
    <x:row r="8">
      <x:c r="A8" s="11" t="str">
        <x:v>ORD-1007</x:v>
      </x:c>
      <x:c r="B8" s="14" t="n">
        <x:v>45694</x:v>
      </x:c>
      <x:c r="C8" s="11" t="str">
        <x:v>SA</x:v>
      </x:c>
      <x:c r="D8" s="11" t="str">
        <x:v>South Australia</x:v>
      </x:c>
      <x:c r="E8" s="11" t="str">
        <x:v>Small Business</x:v>
      </x:c>
      <x:c r="F8" s="11" t="str">
        <x:v>Office Supplies</x:v>
      </x:c>
      <x:c r="G8" s="11" t="str">
        <x:v>Notebook Pack</x:v>
      </x:c>
      <x:c r="H8" s="16" t="n">
        <x:v>95</x:v>
      </x:c>
      <x:c r="I8" s="11" t="n">
        <x:v>12</x:v>
      </x:c>
      <x:c r="J8" s="18" t="n">
        <x:v>0</x:v>
      </x:c>
      <x:c r="K8" s="16" t="n">
        <x:v>25</x:v>
      </x:c>
      <x:c r="L8" s="11" t="str">
        <x:f>TEXT(B8,"mmm yyyy")</x:f>
        <x:v>Feb 2025</x:v>
      </x:c>
      <x:c r="M8" s="20" t="n">
        <x:f>K8/H8</x:f>
        <x:v>0.2631578947368421</x:v>
      </x:c>
      <x:c r="N8" s="22" t="n">
        <x:f>H8/I8</x:f>
        <x:v>7.916666666666667</x:v>
      </x:c>
      <x:c r="O8" s="11" t="str">
        <x:f>IF(J8&gt;=0.1,"High discount","Normal")</x:f>
        <x:v>Normal</x:v>
      </x:c>
    </x:row>
    <x:row r="9">
      <x:c r="A9" s="11" t="str">
        <x:v>ORD-1008</x:v>
      </x:c>
      <x:c r="B9" s="14" t="n">
        <x:v>45699</x:v>
      </x:c>
      <x:c r="C9" s="11" t="str">
        <x:v>NSW</x:v>
      </x:c>
      <x:c r="D9" s="11" t="str">
        <x:v>New South Wales</x:v>
      </x:c>
      <x:c r="E9" s="11" t="str">
        <x:v>Corporate</x:v>
      </x:c>
      <x:c r="F9" s="11" t="str">
        <x:v>Technology</x:v>
      </x:c>
      <x:c r="G9" s="11" t="str">
        <x:v>Monitor</x:v>
      </x:c>
      <x:c r="H9" s="16" t="n">
        <x:v>980</x:v>
      </x:c>
      <x:c r="I9" s="11" t="n">
        <x:v>4</x:v>
      </x:c>
      <x:c r="J9" s="18" t="n">
        <x:v>0.1</x:v>
      </x:c>
      <x:c r="K9" s="16" t="n">
        <x:v>160</x:v>
      </x:c>
      <x:c r="L9" s="11" t="str">
        <x:f>TEXT(B9,"mmm yyyy")</x:f>
        <x:v>Feb 2025</x:v>
      </x:c>
      <x:c r="M9" s="20" t="n">
        <x:f>K9/H9</x:f>
        <x:v>0.16326530612244897</x:v>
      </x:c>
      <x:c r="N9" s="22" t="n">
        <x:f>H9/I9</x:f>
        <x:v>245</x:v>
      </x:c>
      <x:c r="O9" s="11" t="str">
        <x:f>IF(J9&gt;=0.1,"High discount","Normal")</x:f>
        <x:v>High discount</x:v>
      </x:c>
    </x:row>
    <x:row r="10">
      <x:c r="A10" s="11" t="str">
        <x:v>ORD-1009</x:v>
      </x:c>
      <x:c r="B10" s="14" t="n">
        <x:v>45705</x:v>
      </x:c>
      <x:c r="C10" s="11" t="str">
        <x:v>QLD</x:v>
      </x:c>
      <x:c r="D10" s="11" t="str">
        <x:v>Queensland</x:v>
      </x:c>
      <x:c r="E10" s="11" t="str">
        <x:v>Consumer</x:v>
      </x:c>
      <x:c r="F10" s="11" t="str">
        <x:v>Furniture</x:v>
      </x:c>
      <x:c r="G10" s="11" t="str">
        <x:v>Bookshelf</x:v>
      </x:c>
      <x:c r="H10" s="16" t="n">
        <x:v>520</x:v>
      </x:c>
      <x:c r="I10" s="11" t="n">
        <x:v>2</x:v>
      </x:c>
      <x:c r="J10" s="18" t="n">
        <x:v>0.1</x:v>
      </x:c>
      <x:c r="K10" s="16" t="n">
        <x:v>68</x:v>
      </x:c>
      <x:c r="L10" s="11" t="str">
        <x:f>TEXT(B10,"mmm yyyy")</x:f>
        <x:v>Feb 2025</x:v>
      </x:c>
      <x:c r="M10" s="20" t="n">
        <x:f>K10/H10</x:f>
        <x:v>0.13076923076923078</x:v>
      </x:c>
      <x:c r="N10" s="22" t="n">
        <x:f>H10/I10</x:f>
        <x:v>260</x:v>
      </x:c>
      <x:c r="O10" s="11" t="str">
        <x:f>IF(J10&gt;=0.1,"High discount","Normal")</x:f>
        <x:v>High discount</x:v>
      </x:c>
    </x:row>
    <x:row r="11">
      <x:c r="A11" s="11" t="str">
        <x:v>ORD-1010</x:v>
      </x:c>
      <x:c r="B11" s="14" t="n">
        <x:v>45709</x:v>
      </x:c>
      <x:c r="C11" s="11" t="str">
        <x:v>VIC</x:v>
      </x:c>
      <x:c r="D11" s="11" t="str">
        <x:v>Victoria</x:v>
      </x:c>
      <x:c r="E11" s="11" t="str">
        <x:v>Small Business</x:v>
      </x:c>
      <x:c r="F11" s="11" t="str">
        <x:v>Office Supplies</x:v>
      </x:c>
      <x:c r="G11" s="11" t="str">
        <x:v>Desk Organiser</x:v>
      </x:c>
      <x:c r="H11" s="16" t="n">
        <x:v>150</x:v>
      </x:c>
      <x:c r="I11" s="11" t="n">
        <x:v>6</x:v>
      </x:c>
      <x:c r="J11" s="18" t="n">
        <x:v>0</x:v>
      </x:c>
      <x:c r="K11" s="16" t="n">
        <x:v>44</x:v>
      </x:c>
      <x:c r="L11" s="11" t="str">
        <x:f>TEXT(B11,"mmm yyyy")</x:f>
        <x:v>Feb 2025</x:v>
      </x:c>
      <x:c r="M11" s="20" t="n">
        <x:f>K11/H11</x:f>
        <x:v>0.29333333333333333</x:v>
      </x:c>
      <x:c r="N11" s="22" t="n">
        <x:f>H11/I11</x:f>
        <x:v>25</x:v>
      </x:c>
      <x:c r="O11" s="11" t="str">
        <x:f>IF(J11&gt;=0.1,"High discount","Normal")</x:f>
        <x:v>Normal</x:v>
      </x:c>
    </x:row>
    <x:row r="12">
      <x:c r="A12" s="11" t="str">
        <x:v>ORD-1011</x:v>
      </x:c>
      <x:c r="B12" s="14" t="n">
        <x:v>45720</x:v>
      </x:c>
      <x:c r="C12" s="11" t="str">
        <x:v>WA</x:v>
      </x:c>
      <x:c r="D12" s="11" t="str">
        <x:v>Western Australia</x:v>
      </x:c>
      <x:c r="E12" s="11" t="str">
        <x:v>Consumer</x:v>
      </x:c>
      <x:c r="F12" s="11" t="str">
        <x:v>Technology</x:v>
      </x:c>
      <x:c r="G12" s="11" t="str">
        <x:v>Keyboard</x:v>
      </x:c>
      <x:c r="H12" s="16" t="n">
        <x:v>360</x:v>
      </x:c>
      <x:c r="I12" s="11" t="n">
        <x:v>6</x:v>
      </x:c>
      <x:c r="J12" s="18" t="n">
        <x:v>0.05</x:v>
      </x:c>
      <x:c r="K12" s="16" t="n">
        <x:v>86</x:v>
      </x:c>
      <x:c r="L12" s="11" t="str">
        <x:f>TEXT(B12,"mmm yyyy")</x:f>
        <x:v>Mar 2025</x:v>
      </x:c>
      <x:c r="M12" s="20" t="n">
        <x:f>K12/H12</x:f>
        <x:v>0.2388888888888889</x:v>
      </x:c>
      <x:c r="N12" s="22" t="n">
        <x:f>H12/I12</x:f>
        <x:v>60</x:v>
      </x:c>
      <x:c r="O12" s="11" t="str">
        <x:f>IF(J12&gt;=0.1,"High discount","Normal")</x:f>
        <x:v>Normal</x:v>
      </x:c>
    </x:row>
    <x:row r="13">
      <x:c r="A13" s="11" t="str">
        <x:v>ORD-1012</x:v>
      </x:c>
      <x:c r="B13" s="14" t="n">
        <x:v>45724</x:v>
      </x:c>
      <x:c r="C13" s="11" t="str">
        <x:v>NSW</x:v>
      </x:c>
      <x:c r="D13" s="11" t="str">
        <x:v>New South Wales</x:v>
      </x:c>
      <x:c r="E13" s="11" t="str">
        <x:v>Corporate</x:v>
      </x:c>
      <x:c r="F13" s="11" t="str">
        <x:v>Furniture</x:v>
      </x:c>
      <x:c r="G13" s="11" t="str">
        <x:v>Meeting Table</x:v>
      </x:c>
      <x:c r="H13" s="16" t="n">
        <x:v>1450</x:v>
      </x:c>
      <x:c r="I13" s="11" t="n">
        <x:v>2</x:v>
      </x:c>
      <x:c r="J13" s="18" t="n">
        <x:v>0.12</x:v>
      </x:c>
      <x:c r="K13" s="16" t="n">
        <x:v>260</x:v>
      </x:c>
      <x:c r="L13" s="11" t="str">
        <x:f>TEXT(B13,"mmm yyyy")</x:f>
        <x:v>Mar 2025</x:v>
      </x:c>
      <x:c r="M13" s="20" t="n">
        <x:f>K13/H13</x:f>
        <x:v>0.1793103448275862</x:v>
      </x:c>
      <x:c r="N13" s="22" t="n">
        <x:f>H13/I13</x:f>
        <x:v>725</x:v>
      </x:c>
      <x:c r="O13" s="11" t="str">
        <x:f>IF(J13&gt;=0.1,"High discount","Normal")</x:f>
        <x:v>High discount</x:v>
      </x:c>
    </x:row>
    <x:row r="14">
      <x:c r="A14" s="11" t="str">
        <x:v>ORD-1013</x:v>
      </x:c>
      <x:c r="B14" s="14" t="n">
        <x:v>45729</x:v>
      </x:c>
      <x:c r="C14" s="11" t="str">
        <x:v>QLD</x:v>
      </x:c>
      <x:c r="D14" s="11" t="str">
        <x:v>Queensland</x:v>
      </x:c>
      <x:c r="E14" s="11" t="str">
        <x:v>Small Business</x:v>
      </x:c>
      <x:c r="F14" s="11" t="str">
        <x:v>Technology</x:v>
      </x:c>
      <x:c r="G14" s="11" t="str">
        <x:v>Webcam</x:v>
      </x:c>
      <x:c r="H14" s="16" t="n">
        <x:v>420</x:v>
      </x:c>
      <x:c r="I14" s="11" t="n">
        <x:v>7</x:v>
      </x:c>
      <x:c r="J14" s="18" t="n">
        <x:v>0.05</x:v>
      </x:c>
      <x:c r="K14" s="16" t="n">
        <x:v>100</x:v>
      </x:c>
      <x:c r="L14" s="11" t="str">
        <x:f>TEXT(B14,"mmm yyyy")</x:f>
        <x:v>Mar 2025</x:v>
      </x:c>
      <x:c r="M14" s="20" t="n">
        <x:f>K14/H14</x:f>
        <x:v>0.23809523809523808</x:v>
      </x:c>
      <x:c r="N14" s="22" t="n">
        <x:f>H14/I14</x:f>
        <x:v>60</x:v>
      </x:c>
      <x:c r="O14" s="11" t="str">
        <x:f>IF(J14&gt;=0.1,"High discount","Normal")</x:f>
        <x:v>Normal</x:v>
      </x:c>
    </x:row>
    <x:row r="15">
      <x:c r="A15" s="11" t="str">
        <x:v>ORD-1014</x:v>
      </x:c>
      <x:c r="B15" s="14" t="n">
        <x:v>45732</x:v>
      </x:c>
      <x:c r="C15" s="11" t="str">
        <x:v>SA</x:v>
      </x:c>
      <x:c r="D15" s="11" t="str">
        <x:v>South Australia</x:v>
      </x:c>
      <x:c r="E15" s="11" t="str">
        <x:v>Consumer</x:v>
      </x:c>
      <x:c r="F15" s="11" t="str">
        <x:v>Office Supplies</x:v>
      </x:c>
      <x:c r="G15" s="11" t="str">
        <x:v>Sticky Notes</x:v>
      </x:c>
      <x:c r="H15" s="16" t="n">
        <x:v>65</x:v>
      </x:c>
      <x:c r="I15" s="11" t="n">
        <x:v>20</x:v>
      </x:c>
      <x:c r="J15" s="18" t="n">
        <x:v>0</x:v>
      </x:c>
      <x:c r="K15" s="16" t="n">
        <x:v>18</x:v>
      </x:c>
      <x:c r="L15" s="11" t="str">
        <x:f>TEXT(B15,"mmm yyyy")</x:f>
        <x:v>Mar 2025</x:v>
      </x:c>
      <x:c r="M15" s="20" t="n">
        <x:f>K15/H15</x:f>
        <x:v>0.27692307692307694</x:v>
      </x:c>
      <x:c r="N15" s="22" t="n">
        <x:f>H15/I15</x:f>
        <x:v>3.25</x:v>
      </x:c>
      <x:c r="O15" s="11" t="str">
        <x:f>IF(J15&gt;=0.1,"High discount","Normal")</x:f>
        <x:v>Normal</x:v>
      </x:c>
    </x:row>
    <x:row r="16">
      <x:c r="A16" s="11" t="str">
        <x:v>ORD-1015</x:v>
      </x:c>
      <x:c r="B16" s="14" t="n">
        <x:v>45738</x:v>
      </x:c>
      <x:c r="C16" s="11" t="str">
        <x:v>VIC</x:v>
      </x:c>
      <x:c r="D16" s="11" t="str">
        <x:v>Victoria</x:v>
      </x:c>
      <x:c r="E16" s="11" t="str">
        <x:v>Corporate</x:v>
      </x:c>
      <x:c r="F16" s="11" t="str">
        <x:v>Technology</x:v>
      </x:c>
      <x:c r="G16" s="11" t="str">
        <x:v>Docking Station</x:v>
      </x:c>
      <x:c r="H16" s="16" t="n">
        <x:v>760</x:v>
      </x:c>
      <x:c r="I16" s="11" t="n">
        <x:v>5</x:v>
      </x:c>
      <x:c r="J16" s="18" t="n">
        <x:v>0.08</x:v>
      </x:c>
      <x:c r="K16" s="16" t="n">
        <x:v>170</x:v>
      </x:c>
      <x:c r="L16" s="11" t="str">
        <x:f>TEXT(B16,"mmm yyyy")</x:f>
        <x:v>Mar 2025</x:v>
      </x:c>
      <x:c r="M16" s="20" t="n">
        <x:f>K16/H16</x:f>
        <x:v>0.2236842105263158</x:v>
      </x:c>
      <x:c r="N16" s="22" t="n">
        <x:f>H16/I16</x:f>
        <x:v>152</x:v>
      </x:c>
      <x:c r="O16" s="11" t="str">
        <x:f>IF(J16&gt;=0.1,"High discount","Normal")</x:f>
        <x:v>Normal</x:v>
      </x:c>
    </x:row>
    <x:row r="17">
      <x:c r="A17" s="11" t="str">
        <x:v>ORD-1016</x:v>
      </x:c>
      <x:c r="B17" s="14" t="n">
        <x:v>45749</x:v>
      </x:c>
      <x:c r="C17" s="11" t="str">
        <x:v>NSW</x:v>
      </x:c>
      <x:c r="D17" s="11" t="str">
        <x:v>New South Wales</x:v>
      </x:c>
      <x:c r="E17" s="11" t="str">
        <x:v>Consumer</x:v>
      </x:c>
      <x:c r="F17" s="11" t="str">
        <x:v>Furniture</x:v>
      </x:c>
      <x:c r="G17" s="11" t="str">
        <x:v>Ergonomic Chair</x:v>
      </x:c>
      <x:c r="H17" s="16" t="n">
        <x:v>720</x:v>
      </x:c>
      <x:c r="I17" s="11" t="n">
        <x:v>3</x:v>
      </x:c>
      <x:c r="J17" s="18" t="n">
        <x:v>0.1</x:v>
      </x:c>
      <x:c r="K17" s="16" t="n">
        <x:v>110</x:v>
      </x:c>
      <x:c r="L17" s="11" t="str">
        <x:f>TEXT(B17,"mmm yyyy")</x:f>
        <x:v>Apr 2025</x:v>
      </x:c>
      <x:c r="M17" s="20" t="n">
        <x:f>K17/H17</x:f>
        <x:v>0.1527777777777778</x:v>
      </x:c>
      <x:c r="N17" s="22" t="n">
        <x:f>H17/I17</x:f>
        <x:v>240</x:v>
      </x:c>
      <x:c r="O17" s="11" t="str">
        <x:f>IF(J17&gt;=0.1,"High discount","Normal")</x:f>
        <x:v>High discount</x:v>
      </x:c>
    </x:row>
    <x:row r="18">
      <x:c r="A18" s="11" t="str">
        <x:v>ORD-1017</x:v>
      </x:c>
      <x:c r="B18" s="14" t="n">
        <x:v>45752</x:v>
      </x:c>
      <x:c r="C18" s="11" t="str">
        <x:v>QLD</x:v>
      </x:c>
      <x:c r="D18" s="11" t="str">
        <x:v>Queensland</x:v>
      </x:c>
      <x:c r="E18" s="11" t="str">
        <x:v>Corporate</x:v>
      </x:c>
      <x:c r="F18" s="11" t="str">
        <x:v>Office Supplies</x:v>
      </x:c>
      <x:c r="G18" s="11" t="str">
        <x:v>Ink Cartridge</x:v>
      </x:c>
      <x:c r="H18" s="16" t="n">
        <x:v>210</x:v>
      </x:c>
      <x:c r="I18" s="11" t="n">
        <x:v>5</x:v>
      </x:c>
      <x:c r="J18" s="18" t="n">
        <x:v>0.02</x:v>
      </x:c>
      <x:c r="K18" s="16" t="n">
        <x:v>52</x:v>
      </x:c>
      <x:c r="L18" s="11" t="str">
        <x:f>TEXT(B18,"mmm yyyy")</x:f>
        <x:v>Apr 2025</x:v>
      </x:c>
      <x:c r="M18" s="20" t="n">
        <x:f>K18/H18</x:f>
        <x:v>0.24761904761904763</x:v>
      </x:c>
      <x:c r="N18" s="22" t="n">
        <x:f>H18/I18</x:f>
        <x:v>42</x:v>
      </x:c>
      <x:c r="O18" s="11" t="str">
        <x:f>IF(J18&gt;=0.1,"High discount","Normal")</x:f>
        <x:v>Normal</x:v>
      </x:c>
    </x:row>
    <x:row r="19">
      <x:c r="A19" s="11" t="str">
        <x:v>ORD-1018</x:v>
      </x:c>
      <x:c r="B19" s="14" t="n">
        <x:v>45756</x:v>
      </x:c>
      <x:c r="C19" s="11" t="str">
        <x:v>WA</x:v>
      </x:c>
      <x:c r="D19" s="11" t="str">
        <x:v>Western Australia</x:v>
      </x:c>
      <x:c r="E19" s="11" t="str">
        <x:v>Small Business</x:v>
      </x:c>
      <x:c r="F19" s="11" t="str">
        <x:v>Technology</x:v>
      </x:c>
      <x:c r="G19" s="11" t="str">
        <x:v>Tablet</x:v>
      </x:c>
      <x:c r="H19" s="16" t="n">
        <x:v>1150</x:v>
      </x:c>
      <x:c r="I19" s="11" t="n">
        <x:v>4</x:v>
      </x:c>
      <x:c r="J19" s="18" t="n">
        <x:v>0.1</x:v>
      </x:c>
      <x:c r="K19" s="16" t="n">
        <x:v>230</x:v>
      </x:c>
      <x:c r="L19" s="11" t="str">
        <x:f>TEXT(B19,"mmm yyyy")</x:f>
        <x:v>Apr 2025</x:v>
      </x:c>
      <x:c r="M19" s="20" t="n">
        <x:f>K19/H19</x:f>
        <x:v>0.2</x:v>
      </x:c>
      <x:c r="N19" s="22" t="n">
        <x:f>H19/I19</x:f>
        <x:v>287.5</x:v>
      </x:c>
      <x:c r="O19" s="11" t="str">
        <x:f>IF(J19&gt;=0.1,"High discount","Normal")</x:f>
        <x:v>High discount</x:v>
      </x:c>
    </x:row>
    <x:row r="20">
      <x:c r="A20" s="11" t="str">
        <x:v>ORD-1019</x:v>
      </x:c>
      <x:c r="B20" s="14" t="n">
        <x:v>45762</x:v>
      </x:c>
      <x:c r="C20" s="11" t="str">
        <x:v>VIC</x:v>
      </x:c>
      <x:c r="D20" s="11" t="str">
        <x:v>Victoria</x:v>
      </x:c>
      <x:c r="E20" s="11" t="str">
        <x:v>Consumer</x:v>
      </x:c>
      <x:c r="F20" s="11" t="str">
        <x:v>Office Supplies</x:v>
      </x:c>
      <x:c r="G20" s="11" t="str">
        <x:v>Folder Set</x:v>
      </x:c>
      <x:c r="H20" s="16" t="n">
        <x:v>90</x:v>
      </x:c>
      <x:c r="I20" s="11" t="n">
        <x:v>15</x:v>
      </x:c>
      <x:c r="J20" s="18" t="n">
        <x:v>0</x:v>
      </x:c>
      <x:c r="K20" s="16" t="n">
        <x:v>21</x:v>
      </x:c>
      <x:c r="L20" s="11" t="str">
        <x:f>TEXT(B20,"mmm yyyy")</x:f>
        <x:v>Apr 2025</x:v>
      </x:c>
      <x:c r="M20" s="20" t="n">
        <x:f>K20/H20</x:f>
        <x:v>0.23333333333333334</x:v>
      </x:c>
      <x:c r="N20" s="22" t="n">
        <x:f>H20/I20</x:f>
        <x:v>6</x:v>
      </x:c>
      <x:c r="O20" s="11" t="str">
        <x:f>IF(J20&gt;=0.1,"High discount","Normal")</x:f>
        <x:v>Normal</x:v>
      </x:c>
    </x:row>
    <x:row r="21">
      <x:c r="A21" s="11" t="str">
        <x:v>ORD-1020</x:v>
      </x:c>
      <x:c r="B21" s="14" t="n">
        <x:v>45766</x:v>
      </x:c>
      <x:c r="C21" s="11" t="str">
        <x:v>NSW</x:v>
      </x:c>
      <x:c r="D21" s="11" t="str">
        <x:v>New South Wales</x:v>
      </x:c>
      <x:c r="E21" s="11" t="str">
        <x:v>Corporate</x:v>
      </x:c>
      <x:c r="F21" s="11" t="str">
        <x:v>Technology</x:v>
      </x:c>
      <x:c r="G21" s="11" t="str">
        <x:v>Laptop</x:v>
      </x:c>
      <x:c r="H21" s="16" t="n">
        <x:v>3200</x:v>
      </x:c>
      <x:c r="I21" s="11" t="n">
        <x:v>5</x:v>
      </x:c>
      <x:c r="J21" s="18" t="n">
        <x:v>0.07</x:v>
      </x:c>
      <x:c r="K21" s="16" t="n">
        <x:v>520</x:v>
      </x:c>
      <x:c r="L21" s="11" t="str">
        <x:f>TEXT(B21,"mmm yyyy")</x:f>
        <x:v>Apr 2025</x:v>
      </x:c>
      <x:c r="M21" s="20" t="n">
        <x:f>K21/H21</x:f>
        <x:v>0.1625</x:v>
      </x:c>
      <x:c r="N21" s="22" t="n">
        <x:f>H21/I21</x:f>
        <x:v>640</x:v>
      </x:c>
      <x:c r="O21" s="11" t="str">
        <x:f>IF(J21&gt;=0.1,"High discount","Normal")</x:f>
        <x:v>Normal</x:v>
      </x:c>
    </x:row>
    <x:row r="22">
      <x:c r="A22" s="11" t="str">
        <x:v>ORD-1021</x:v>
      </x:c>
      <x:c r="B22" s="14" t="n">
        <x:v>45780</x:v>
      </x:c>
      <x:c r="C22" s="11" t="str">
        <x:v>SA</x:v>
      </x:c>
      <x:c r="D22" s="11" t="str">
        <x:v>South Australia</x:v>
      </x:c>
      <x:c r="E22" s="11" t="str">
        <x:v>Consumer</x:v>
      </x:c>
      <x:c r="F22" s="11" t="str">
        <x:v>Furniture</x:v>
      </x:c>
      <x:c r="G22" s="11" t="str">
        <x:v>Office Desk</x:v>
      </x:c>
      <x:c r="H22" s="16" t="n">
        <x:v>610</x:v>
      </x:c>
      <x:c r="I22" s="11" t="n">
        <x:v>2</x:v>
      </x:c>
      <x:c r="J22" s="18" t="n">
        <x:v>0.12</x:v>
      </x:c>
      <x:c r="K22" s="16" t="n">
        <x:v>72</x:v>
      </x:c>
      <x:c r="L22" s="11" t="str">
        <x:f>TEXT(B22,"mmm yyyy")</x:f>
        <x:v>May 2025</x:v>
      </x:c>
      <x:c r="M22" s="20" t="n">
        <x:f>K22/H22</x:f>
        <x:v>0.1180327868852459</x:v>
      </x:c>
      <x:c r="N22" s="22" t="n">
        <x:f>H22/I22</x:f>
        <x:v>305</x:v>
      </x:c>
      <x:c r="O22" s="11" t="str">
        <x:f>IF(J22&gt;=0.1,"High discount","Normal")</x:f>
        <x:v>High discount</x:v>
      </x:c>
    </x:row>
    <x:row r="23">
      <x:c r="A23" s="11" t="str">
        <x:v>ORD-1022</x:v>
      </x:c>
      <x:c r="B23" s="14" t="n">
        <x:v>45784</x:v>
      </x:c>
      <x:c r="C23" s="11" t="str">
        <x:v>QLD</x:v>
      </x:c>
      <x:c r="D23" s="11" t="str">
        <x:v>Queensland</x:v>
      </x:c>
      <x:c r="E23" s="11" t="str">
        <x:v>Small Business</x:v>
      </x:c>
      <x:c r="F23" s="11" t="str">
        <x:v>Technology</x:v>
      </x:c>
      <x:c r="G23" s="11" t="str">
        <x:v>Router</x:v>
      </x:c>
      <x:c r="H23" s="16" t="n">
        <x:v>540</x:v>
      </x:c>
      <x:c r="I23" s="11" t="n">
        <x:v>6</x:v>
      </x:c>
      <x:c r="J23" s="18" t="n">
        <x:v>0.05</x:v>
      </x:c>
      <x:c r="K23" s="16" t="n">
        <x:v>130</x:v>
      </x:c>
      <x:c r="L23" s="11" t="str">
        <x:f>TEXT(B23,"mmm yyyy")</x:f>
        <x:v>May 2025</x:v>
      </x:c>
      <x:c r="M23" s="20" t="n">
        <x:f>K23/H23</x:f>
        <x:v>0.24074074074074073</x:v>
      </x:c>
      <x:c r="N23" s="22" t="n">
        <x:f>H23/I23</x:f>
        <x:v>90</x:v>
      </x:c>
      <x:c r="O23" s="11" t="str">
        <x:f>IF(J23&gt;=0.1,"High discount","Normal")</x:f>
        <x:v>Normal</x:v>
      </x:c>
    </x:row>
    <x:row r="24">
      <x:c r="A24" s="11" t="str">
        <x:v>ORD-1023</x:v>
      </x:c>
      <x:c r="B24" s="14" t="n">
        <x:v>45789</x:v>
      </x:c>
      <x:c r="C24" s="11" t="str">
        <x:v>VIC</x:v>
      </x:c>
      <x:c r="D24" s="11" t="str">
        <x:v>Victoria</x:v>
      </x:c>
      <x:c r="E24" s="11" t="str">
        <x:v>Corporate</x:v>
      </x:c>
      <x:c r="F24" s="11" t="str">
        <x:v>Office Supplies</x:v>
      </x:c>
      <x:c r="G24" s="11" t="str">
        <x:v>Whiteboard</x:v>
      </x:c>
      <x:c r="H24" s="16" t="n">
        <x:v>260</x:v>
      </x:c>
      <x:c r="I24" s="11" t="n">
        <x:v>3</x:v>
      </x:c>
      <x:c r="J24" s="18" t="n">
        <x:v>0</x:v>
      </x:c>
      <x:c r="K24" s="16" t="n">
        <x:v>65</x:v>
      </x:c>
      <x:c r="L24" s="11" t="str">
        <x:f>TEXT(B24,"mmm yyyy")</x:f>
        <x:v>May 2025</x:v>
      </x:c>
      <x:c r="M24" s="20" t="n">
        <x:f>K24/H24</x:f>
        <x:v>0.25</x:v>
      </x:c>
      <x:c r="N24" s="22" t="n">
        <x:f>H24/I24</x:f>
        <x:v>86.66666666666667</x:v>
      </x:c>
      <x:c r="O24" s="11" t="str">
        <x:f>IF(J24&gt;=0.1,"High discount","Normal")</x:f>
        <x:v>Normal</x:v>
      </x:c>
    </x:row>
    <x:row r="25">
      <x:c r="A25" s="11" t="str">
        <x:v>ORD-1024</x:v>
      </x:c>
      <x:c r="B25" s="14" t="n">
        <x:v>45795</x:v>
      </x:c>
      <x:c r="C25" s="11" t="str">
        <x:v>WA</x:v>
      </x:c>
      <x:c r="D25" s="11" t="str">
        <x:v>Western Australia</x:v>
      </x:c>
      <x:c r="E25" s="11" t="str">
        <x:v>Consumer</x:v>
      </x:c>
      <x:c r="F25" s="11" t="str">
        <x:v>Technology</x:v>
      </x:c>
      <x:c r="G25" s="11" t="str">
        <x:v>Noise Cancelling Headset</x:v>
      </x:c>
      <x:c r="H25" s="16" t="n">
        <x:v>890</x:v>
      </x:c>
      <x:c r="I25" s="11" t="n">
        <x:v>5</x:v>
      </x:c>
      <x:c r="J25" s="18" t="n">
        <x:v>0.05</x:v>
      </x:c>
      <x:c r="K25" s="16" t="n">
        <x:v>195</x:v>
      </x:c>
      <x:c r="L25" s="11" t="str">
        <x:f>TEXT(B25,"mmm yyyy")</x:f>
        <x:v>May 2025</x:v>
      </x:c>
      <x:c r="M25" s="20" t="n">
        <x:f>K25/H25</x:f>
        <x:v>0.21910112359550563</x:v>
      </x:c>
      <x:c r="N25" s="22" t="n">
        <x:f>H25/I25</x:f>
        <x:v>178</x:v>
      </x:c>
      <x:c r="O25" s="11" t="str">
        <x:f>IF(J25&gt;=0.1,"High discount","Normal")</x:f>
        <x:v>Normal</x:v>
      </x:c>
    </x:row>
    <x:row r="26">
      <x:c r="A26" s="11" t="str">
        <x:v>ORD-1025</x:v>
      </x:c>
      <x:c r="B26" s="14" t="n">
        <x:v>45801</x:v>
      </x:c>
      <x:c r="C26" s="11" t="str">
        <x:v>NSW</x:v>
      </x:c>
      <x:c r="D26" s="11" t="str">
        <x:v>New South Wales</x:v>
      </x:c>
      <x:c r="E26" s="11" t="str">
        <x:v>Small Business</x:v>
      </x:c>
      <x:c r="F26" s="11" t="str">
        <x:v>Furniture</x:v>
      </x:c>
      <x:c r="G26" s="11" t="str">
        <x:v>Storage Cabinet</x:v>
      </x:c>
      <x:c r="H26" s="16" t="n">
        <x:v>780</x:v>
      </x:c>
      <x:c r="I26" s="11" t="n">
        <x:v>3</x:v>
      </x:c>
      <x:c r="J26" s="18" t="n">
        <x:v>0.1</x:v>
      </x:c>
      <x:c r="K26" s="16" t="n">
        <x:v>118</x:v>
      </x:c>
      <x:c r="L26" s="11" t="str">
        <x:f>TEXT(B26,"mmm yyyy")</x:f>
        <x:v>May 2025</x:v>
      </x:c>
      <x:c r="M26" s="20" t="n">
        <x:f>K26/H26</x:f>
        <x:v>0.15128205128205127</x:v>
      </x:c>
      <x:c r="N26" s="22" t="n">
        <x:f>H26/I26</x:f>
        <x:v>260</x:v>
      </x:c>
      <x:c r="O26" s="11" t="str">
        <x:f>IF(J26&gt;=0.1,"High discount","Normal")</x:f>
        <x:v>High discount</x:v>
      </x:c>
    </x:row>
    <x:row r="27">
      <x:c r="A27" s="11" t="str">
        <x:v>ORD-1026</x:v>
      </x:c>
      <x:c r="B27" s="14" t="n">
        <x:v>45810</x:v>
      </x:c>
      <x:c r="C27" s="11" t="str">
        <x:v>VIC</x:v>
      </x:c>
      <x:c r="D27" s="11" t="str">
        <x:v>Victoria</x:v>
      </x:c>
      <x:c r="E27" s="11" t="str">
        <x:v>Consumer</x:v>
      </x:c>
      <x:c r="F27" s="11" t="str">
        <x:v>Technology</x:v>
      </x:c>
      <x:c r="G27" s="11" t="str">
        <x:v>Portable Monitor</x:v>
      </x:c>
      <x:c r="H27" s="16" t="n">
        <x:v>670</x:v>
      </x:c>
      <x:c r="I27" s="11" t="n">
        <x:v>3</x:v>
      </x:c>
      <x:c r="J27" s="18" t="n">
        <x:v>0.08</x:v>
      </x:c>
      <x:c r="K27" s="16" t="n">
        <x:v>125</x:v>
      </x:c>
      <x:c r="L27" s="11" t="str">
        <x:f>TEXT(B27,"mmm yyyy")</x:f>
        <x:v>Jun 2025</x:v>
      </x:c>
      <x:c r="M27" s="20" t="n">
        <x:f>K27/H27</x:f>
        <x:v>0.1865671641791045</x:v>
      </x:c>
      <x:c r="N27" s="22" t="n">
        <x:f>H27/I27</x:f>
        <x:v>223.33333333333334</x:v>
      </x:c>
      <x:c r="O27" s="11" t="str">
        <x:f>IF(J27&gt;=0.1,"High discount","Normal")</x:f>
        <x:v>Normal</x:v>
      </x:c>
    </x:row>
    <x:row r="28">
      <x:c r="A28" s="11" t="str">
        <x:v>ORD-1027</x:v>
      </x:c>
      <x:c r="B28" s="14" t="n">
        <x:v>45814</x:v>
      </x:c>
      <x:c r="C28" s="11" t="str">
        <x:v>QLD</x:v>
      </x:c>
      <x:c r="D28" s="11" t="str">
        <x:v>Queensland</x:v>
      </x:c>
      <x:c r="E28" s="11" t="str">
        <x:v>Corporate</x:v>
      </x:c>
      <x:c r="F28" s="11" t="str">
        <x:v>Furniture</x:v>
      </x:c>
      <x:c r="G28" s="11" t="str">
        <x:v>Reception Chair</x:v>
      </x:c>
      <x:c r="H28" s="16" t="n">
        <x:v>980</x:v>
      </x:c>
      <x:c r="I28" s="11" t="n">
        <x:v>4</x:v>
      </x:c>
      <x:c r="J28" s="18" t="n">
        <x:v>0.15</x:v>
      </x:c>
      <x:c r="K28" s="16" t="n">
        <x:v>140</x:v>
      </x:c>
      <x:c r="L28" s="11" t="str">
        <x:f>TEXT(B28,"mmm yyyy")</x:f>
        <x:v>Jun 2025</x:v>
      </x:c>
      <x:c r="M28" s="20" t="n">
        <x:f>K28/H28</x:f>
        <x:v>0.14285714285714285</x:v>
      </x:c>
      <x:c r="N28" s="22" t="n">
        <x:f>H28/I28</x:f>
        <x:v>245</x:v>
      </x:c>
      <x:c r="O28" s="11" t="str">
        <x:f>IF(J28&gt;=0.1,"High discount","Normal")</x:f>
        <x:v>High discount</x:v>
      </x:c>
    </x:row>
    <x:row r="29">
      <x:c r="A29" s="11" t="str">
        <x:v>ORD-1028</x:v>
      </x:c>
      <x:c r="B29" s="14" t="n">
        <x:v>45820</x:v>
      </x:c>
      <x:c r="C29" s="11" t="str">
        <x:v>SA</x:v>
      </x:c>
      <x:c r="D29" s="11" t="str">
        <x:v>South Australia</x:v>
      </x:c>
      <x:c r="E29" s="11" t="str">
        <x:v>Small Business</x:v>
      </x:c>
      <x:c r="F29" s="11" t="str">
        <x:v>Office Supplies</x:v>
      </x:c>
      <x:c r="G29" s="11" t="str">
        <x:v>Envelope Box</x:v>
      </x:c>
      <x:c r="H29" s="16" t="n">
        <x:v>80</x:v>
      </x:c>
      <x:c r="I29" s="11" t="n">
        <x:v>10</x:v>
      </x:c>
      <x:c r="J29" s="18" t="n">
        <x:v>0</x:v>
      </x:c>
      <x:c r="K29" s="16" t="n">
        <x:v>20</x:v>
      </x:c>
      <x:c r="L29" s="11" t="str">
        <x:f>TEXT(B29,"mmm yyyy")</x:f>
        <x:v>Jun 2025</x:v>
      </x:c>
      <x:c r="M29" s="20" t="n">
        <x:f>K29/H29</x:f>
        <x:v>0.25</x:v>
      </x:c>
      <x:c r="N29" s="22" t="n">
        <x:f>H29/I29</x:f>
        <x:v>8</x:v>
      </x:c>
      <x:c r="O29" s="11" t="str">
        <x:f>IF(J29&gt;=0.1,"High discount","Normal")</x:f>
        <x:v>Normal</x:v>
      </x:c>
    </x:row>
    <x:row r="30">
      <x:c r="A30" s="11" t="str">
        <x:v>ORD-1029</x:v>
      </x:c>
      <x:c r="B30" s="14" t="n">
        <x:v>45825</x:v>
      </x:c>
      <x:c r="C30" s="11" t="str">
        <x:v>NSW</x:v>
      </x:c>
      <x:c r="D30" s="11" t="str">
        <x:v>New South Wales</x:v>
      </x:c>
      <x:c r="E30" s="11" t="str">
        <x:v>Consumer</x:v>
      </x:c>
      <x:c r="F30" s="11" t="str">
        <x:v>Technology</x:v>
      </x:c>
      <x:c r="G30" s="11" t="str">
        <x:v>Smart Speaker</x:v>
      </x:c>
      <x:c r="H30" s="16" t="n">
        <x:v>330</x:v>
      </x:c>
      <x:c r="I30" s="11" t="n">
        <x:v>6</x:v>
      </x:c>
      <x:c r="J30" s="18" t="n">
        <x:v>0.05</x:v>
      </x:c>
      <x:c r="K30" s="16" t="n">
        <x:v>78</x:v>
      </x:c>
      <x:c r="L30" s="11" t="str">
        <x:f>TEXT(B30,"mmm yyyy")</x:f>
        <x:v>Jun 2025</x:v>
      </x:c>
      <x:c r="M30" s="20" t="n">
        <x:f>K30/H30</x:f>
        <x:v>0.23636363636363636</x:v>
      </x:c>
      <x:c r="N30" s="22" t="n">
        <x:f>H30/I30</x:f>
        <x:v>55</x:v>
      </x:c>
      <x:c r="O30" s="11" t="str">
        <x:f>IF(J30&gt;=0.1,"High discount","Normal")</x:f>
        <x:v>Normal</x:v>
      </x:c>
    </x:row>
    <x:row r="31">
      <x:c r="A31" s="11" t="str">
        <x:v>ORD-1030</x:v>
      </x:c>
      <x:c r="B31" s="14" t="n">
        <x:v>45829</x:v>
      </x:c>
      <x:c r="C31" s="11" t="str">
        <x:v>WA</x:v>
      </x:c>
      <x:c r="D31" s="11" t="str">
        <x:v>Western Australia</x:v>
      </x:c>
      <x:c r="E31" s="11" t="str">
        <x:v>Corporate</x:v>
      </x:c>
      <x:c r="F31" s="11" t="str">
        <x:v>Technology</x:v>
      </x:c>
      <x:c r="G31" s="11" t="str">
        <x:v>Business Laptop</x:v>
      </x:c>
      <x:c r="H31" s="16" t="n">
        <x:v>4100</x:v>
      </x:c>
      <x:c r="I31" s="11" t="n">
        <x:v>6</x:v>
      </x:c>
      <x:c r="J31" s="18" t="n">
        <x:v>0.06</x:v>
      </x:c>
      <x:c r="K31" s="16" t="n">
        <x:v>690</x:v>
      </x:c>
      <x:c r="L31" s="11" t="str">
        <x:f>TEXT(B31,"mmm yyyy")</x:f>
        <x:v>Jun 2025</x:v>
      </x:c>
      <x:c r="M31" s="20" t="n">
        <x:f>K31/H31</x:f>
        <x:v>0.16829268292682928</x:v>
      </x:c>
      <x:c r="N31" s="22" t="n">
        <x:f>H31/I31</x:f>
        <x:v>683.3333333333334</x:v>
      </x:c>
      <x:c r="O31" s="11" t="str">
        <x:f>IF(J31&gt;=0.1,"High discount","Normal")</x:f>
        <x:v>Normal</x:v>
      </x:c>
    </x:row>
    <x:row r="32">
      <x:c r="A32" s="11" t="str">
        <x:v>ORD-1031</x:v>
      </x:c>
      <x:c r="B32" s="14" t="n">
        <x:v>45841</x:v>
      </x:c>
      <x:c r="C32" s="11" t="str">
        <x:v>VIC</x:v>
      </x:c>
      <x:c r="D32" s="11" t="str">
        <x:v>Victoria</x:v>
      </x:c>
      <x:c r="E32" s="11" t="str">
        <x:v>Small Business</x:v>
      </x:c>
      <x:c r="F32" s="11" t="str">
        <x:v>Office Supplies</x:v>
      </x:c>
      <x:c r="G32" s="11" t="str">
        <x:v>Labels</x:v>
      </x:c>
      <x:c r="H32" s="16" t="n">
        <x:v>110</x:v>
      </x:c>
      <x:c r="I32" s="11" t="n">
        <x:v>22</x:v>
      </x:c>
      <x:c r="J32" s="18" t="n">
        <x:v>0</x:v>
      </x:c>
      <x:c r="K32" s="16" t="n">
        <x:v>28</x:v>
      </x:c>
      <x:c r="L32" s="11" t="str">
        <x:f>TEXT(B32,"mmm yyyy")</x:f>
        <x:v>Jul 2025</x:v>
      </x:c>
      <x:c r="M32" s="20" t="n">
        <x:f>K32/H32</x:f>
        <x:v>0.2545454545454545</x:v>
      </x:c>
      <x:c r="N32" s="22" t="n">
        <x:f>H32/I32</x:f>
        <x:v>5</x:v>
      </x:c>
      <x:c r="O32" s="11" t="str">
        <x:f>IF(J32&gt;=0.1,"High discount","Normal")</x:f>
        <x:v>Normal</x:v>
      </x:c>
    </x:row>
    <x:row r="33">
      <x:c r="A33" s="11" t="str">
        <x:v>ORD-1032</x:v>
      </x:c>
      <x:c r="B33" s="14" t="n">
        <x:v>45846</x:v>
      </x:c>
      <x:c r="C33" s="11" t="str">
        <x:v>NSW</x:v>
      </x:c>
      <x:c r="D33" s="11" t="str">
        <x:v>New South Wales</x:v>
      </x:c>
      <x:c r="E33" s="11" t="str">
        <x:v>Corporate</x:v>
      </x:c>
      <x:c r="F33" s="11" t="str">
        <x:v>Furniture</x:v>
      </x:c>
      <x:c r="G33" s="11" t="str">
        <x:v>Executive Desk</x:v>
      </x:c>
      <x:c r="H33" s="16" t="n">
        <x:v>1500</x:v>
      </x:c>
      <x:c r="I33" s="11" t="n">
        <x:v>3</x:v>
      </x:c>
      <x:c r="J33" s="18" t="n">
        <x:v>0.1</x:v>
      </x:c>
      <x:c r="K33" s="16" t="n">
        <x:v>260</x:v>
      </x:c>
      <x:c r="L33" s="11" t="str">
        <x:f>TEXT(B33,"mmm yyyy")</x:f>
        <x:v>Jul 2025</x:v>
      </x:c>
      <x:c r="M33" s="20" t="n">
        <x:f>K33/H33</x:f>
        <x:v>0.17333333333333334</x:v>
      </x:c>
      <x:c r="N33" s="22" t="n">
        <x:f>H33/I33</x:f>
        <x:v>500</x:v>
      </x:c>
      <x:c r="O33" s="11" t="str">
        <x:f>IF(J33&gt;=0.1,"High discount","Normal")</x:f>
        <x:v>High discount</x:v>
      </x:c>
    </x:row>
    <x:row r="34">
      <x:c r="A34" s="11" t="str">
        <x:v>ORD-1033</x:v>
      </x:c>
      <x:c r="B34" s="14" t="n">
        <x:v>45852</x:v>
      </x:c>
      <x:c r="C34" s="11" t="str">
        <x:v>QLD</x:v>
      </x:c>
      <x:c r="D34" s="11" t="str">
        <x:v>Queensland</x:v>
      </x:c>
      <x:c r="E34" s="11" t="str">
        <x:v>Consumer</x:v>
      </x:c>
      <x:c r="F34" s="11" t="str">
        <x:v>Technology</x:v>
      </x:c>
      <x:c r="G34" s="11" t="str">
        <x:v>Wireless Keyboard</x:v>
      </x:c>
      <x:c r="H34" s="16" t="n">
        <x:v>390</x:v>
      </x:c>
      <x:c r="I34" s="11" t="n">
        <x:v>7</x:v>
      </x:c>
      <x:c r="J34" s="18" t="n">
        <x:v>0.04</x:v>
      </x:c>
      <x:c r="K34" s="16" t="n">
        <x:v>98</x:v>
      </x:c>
      <x:c r="L34" s="11" t="str">
        <x:f>TEXT(B34,"mmm yyyy")</x:f>
        <x:v>Jul 2025</x:v>
      </x:c>
      <x:c r="M34" s="20" t="n">
        <x:f>K34/H34</x:f>
        <x:v>0.2512820512820513</x:v>
      </x:c>
      <x:c r="N34" s="22" t="n">
        <x:f>H34/I34</x:f>
        <x:v>55.714285714285715</x:v>
      </x:c>
      <x:c r="O34" s="11" t="str">
        <x:f>IF(J34&gt;=0.1,"High discount","Normal")</x:f>
        <x:v>Normal</x:v>
      </x:c>
    </x:row>
    <x:row r="35">
      <x:c r="A35" s="11" t="str">
        <x:v>ORD-1034</x:v>
      </x:c>
      <x:c r="B35" s="14" t="n">
        <x:v>45858</x:v>
      </x:c>
      <x:c r="C35" s="11" t="str">
        <x:v>SA</x:v>
      </x:c>
      <x:c r="D35" s="11" t="str">
        <x:v>South Australia</x:v>
      </x:c>
      <x:c r="E35" s="11" t="str">
        <x:v>Corporate</x:v>
      </x:c>
      <x:c r="F35" s="11" t="str">
        <x:v>Office Supplies</x:v>
      </x:c>
      <x:c r="G35" s="11" t="str">
        <x:v>Presentation Folder</x:v>
      </x:c>
      <x:c r="H35" s="16" t="n">
        <x:v>145</x:v>
      </x:c>
      <x:c r="I35" s="11" t="n">
        <x:v>18</x:v>
      </x:c>
      <x:c r="J35" s="18" t="n">
        <x:v>0</x:v>
      </x:c>
      <x:c r="K35" s="16" t="n">
        <x:v>39</x:v>
      </x:c>
      <x:c r="L35" s="11" t="str">
        <x:f>TEXT(B35,"mmm yyyy")</x:f>
        <x:v>Jul 2025</x:v>
      </x:c>
      <x:c r="M35" s="20" t="n">
        <x:f>K35/H35</x:f>
        <x:v>0.2689655172413793</x:v>
      </x:c>
      <x:c r="N35" s="22" t="n">
        <x:f>H35/I35</x:f>
        <x:v>8.055555555555555</x:v>
      </x:c>
      <x:c r="O35" s="11" t="str">
        <x:f>IF(J35&gt;=0.1,"High discount","Normal")</x:f>
        <x:v>Normal</x:v>
      </x:c>
    </x:row>
    <x:row r="36">
      <x:c r="A36" s="11" t="str">
        <x:v>ORD-1035</x:v>
      </x:c>
      <x:c r="B36" s="14" t="n">
        <x:v>45863</x:v>
      </x:c>
      <x:c r="C36" s="11" t="str">
        <x:v>WA</x:v>
      </x:c>
      <x:c r="D36" s="11" t="str">
        <x:v>Western Australia</x:v>
      </x:c>
      <x:c r="E36" s="11" t="str">
        <x:v>Small Business</x:v>
      </x:c>
      <x:c r="F36" s="11" t="str">
        <x:v>Technology</x:v>
      </x:c>
      <x:c r="G36" s="11" t="str">
        <x:v>Barcode Scanner</x:v>
      </x:c>
      <x:c r="H36" s="16" t="n">
        <x:v>730</x:v>
      </x:c>
      <x:c r="I36" s="11" t="n">
        <x:v>4</x:v>
      </x:c>
      <x:c r="J36" s="18" t="n">
        <x:v>0.05</x:v>
      </x:c>
      <x:c r="K36" s="16" t="n">
        <x:v>168</x:v>
      </x:c>
      <x:c r="L36" s="11" t="str">
        <x:f>TEXT(B36,"mmm yyyy")</x:f>
        <x:v>Jul 2025</x:v>
      </x:c>
      <x:c r="M36" s="20" t="n">
        <x:f>K36/H36</x:f>
        <x:v>0.23013698630136986</x:v>
      </x:c>
      <x:c r="N36" s="22" t="n">
        <x:f>H36/I36</x:f>
        <x:v>182.5</x:v>
      </x:c>
      <x:c r="O36" s="11" t="str">
        <x:f>IF(J36&gt;=0.1,"High discount","Normal")</x:f>
        <x:v>Normal</x:v>
      </x:c>
    </x:row>
    <x:row r="37">
      <x:c r="A37" s="11" t="str">
        <x:v>ORD-1036</x:v>
      </x:c>
      <x:c r="B37" s="14" t="n">
        <x:v>45872</x:v>
      </x:c>
      <x:c r="C37" s="11" t="str">
        <x:v>NSW</x:v>
      </x:c>
      <x:c r="D37" s="11" t="str">
        <x:v>New South Wales</x:v>
      </x:c>
      <x:c r="E37" s="11" t="str">
        <x:v>Consumer</x:v>
      </x:c>
      <x:c r="F37" s="11" t="str">
        <x:v>Office Supplies</x:v>
      </x:c>
      <x:c r="G37" s="11" t="str">
        <x:v>Printer Ink</x:v>
      </x:c>
      <x:c r="H37" s="16" t="n">
        <x:v>180</x:v>
      </x:c>
      <x:c r="I37" s="11" t="n">
        <x:v>4</x:v>
      </x:c>
      <x:c r="J37" s="18" t="n">
        <x:v>0</x:v>
      </x:c>
      <x:c r="K37" s="16" t="n">
        <x:v>42</x:v>
      </x:c>
      <x:c r="L37" s="11" t="str">
        <x:f>TEXT(B37,"mmm yyyy")</x:f>
        <x:v>Aug 2025</x:v>
      </x:c>
      <x:c r="M37" s="20" t="n">
        <x:f>K37/H37</x:f>
        <x:v>0.23333333333333334</x:v>
      </x:c>
      <x:c r="N37" s="22" t="n">
        <x:f>H37/I37</x:f>
        <x:v>45</x:v>
      </x:c>
      <x:c r="O37" s="11" t="str">
        <x:f>IF(J37&gt;=0.1,"High discount","Normal")</x:f>
        <x:v>Normal</x:v>
      </x:c>
    </x:row>
    <x:row r="38">
      <x:c r="A38" s="11" t="str">
        <x:v>ORD-1037</x:v>
      </x:c>
      <x:c r="B38" s="14" t="n">
        <x:v>45876</x:v>
      </x:c>
      <x:c r="C38" s="11" t="str">
        <x:v>VIC</x:v>
      </x:c>
      <x:c r="D38" s="11" t="str">
        <x:v>Victoria</x:v>
      </x:c>
      <x:c r="E38" s="11" t="str">
        <x:v>Corporate</x:v>
      </x:c>
      <x:c r="F38" s="11" t="str">
        <x:v>Technology</x:v>
      </x:c>
      <x:c r="G38" s="11" t="str">
        <x:v>Conference Camera</x:v>
      </x:c>
      <x:c r="H38" s="16" t="n">
        <x:v>1250</x:v>
      </x:c>
      <x:c r="I38" s="11" t="n">
        <x:v>3</x:v>
      </x:c>
      <x:c r="J38" s="18" t="n">
        <x:v>0.08</x:v>
      </x:c>
      <x:c r="K38" s="16" t="n">
        <x:v>265</x:v>
      </x:c>
      <x:c r="L38" s="11" t="str">
        <x:f>TEXT(B38,"mmm yyyy")</x:f>
        <x:v>Aug 2025</x:v>
      </x:c>
      <x:c r="M38" s="20" t="n">
        <x:f>K38/H38</x:f>
        <x:v>0.212</x:v>
      </x:c>
      <x:c r="N38" s="22" t="n">
        <x:f>H38/I38</x:f>
        <x:v>416.6666666666667</x:v>
      </x:c>
      <x:c r="O38" s="11" t="str">
        <x:f>IF(J38&gt;=0.1,"High discount","Normal")</x:f>
        <x:v>Normal</x:v>
      </x:c>
    </x:row>
    <x:row r="39">
      <x:c r="A39" s="11" t="str">
        <x:v>ORD-1038</x:v>
      </x:c>
      <x:c r="B39" s="14" t="n">
        <x:v>45882</x:v>
      </x:c>
      <x:c r="C39" s="11" t="str">
        <x:v>QLD</x:v>
      </x:c>
      <x:c r="D39" s="11" t="str">
        <x:v>Queensland</x:v>
      </x:c>
      <x:c r="E39" s="11" t="str">
        <x:v>Small Business</x:v>
      </x:c>
      <x:c r="F39" s="11" t="str">
        <x:v>Furniture</x:v>
      </x:c>
      <x:c r="G39" s="11" t="str">
        <x:v>Office Lounge</x:v>
      </x:c>
      <x:c r="H39" s="16" t="n">
        <x:v>1180</x:v>
      </x:c>
      <x:c r="I39" s="11" t="n">
        <x:v>2</x:v>
      </x:c>
      <x:c r="J39" s="18" t="n">
        <x:v>0.12</x:v>
      </x:c>
      <x:c r="K39" s="16" t="n">
        <x:v>190</x:v>
      </x:c>
      <x:c r="L39" s="11" t="str">
        <x:f>TEXT(B39,"mmm yyyy")</x:f>
        <x:v>Aug 2025</x:v>
      </x:c>
      <x:c r="M39" s="20" t="n">
        <x:f>K39/H39</x:f>
        <x:v>0.16101694915254236</x:v>
      </x:c>
      <x:c r="N39" s="22" t="n">
        <x:f>H39/I39</x:f>
        <x:v>590</x:v>
      </x:c>
      <x:c r="O39" s="11" t="str">
        <x:f>IF(J39&gt;=0.1,"High discount","Normal")</x:f>
        <x:v>High discount</x:v>
      </x:c>
    </x:row>
    <x:row r="40">
      <x:c r="A40" s="11" t="str">
        <x:v>ORD-1039</x:v>
      </x:c>
      <x:c r="B40" s="14" t="n">
        <x:v>45887</x:v>
      </x:c>
      <x:c r="C40" s="11" t="str">
        <x:v>SA</x:v>
      </x:c>
      <x:c r="D40" s="11" t="str">
        <x:v>South Australia</x:v>
      </x:c>
      <x:c r="E40" s="11" t="str">
        <x:v>Consumer</x:v>
      </x:c>
      <x:c r="F40" s="11" t="str">
        <x:v>Technology</x:v>
      </x:c>
      <x:c r="G40" s="11" t="str">
        <x:v>Bluetooth Keyboard</x:v>
      </x:c>
      <x:c r="H40" s="16" t="n">
        <x:v>260</x:v>
      </x:c>
      <x:c r="I40" s="11" t="n">
        <x:v>5</x:v>
      </x:c>
      <x:c r="J40" s="18" t="n">
        <x:v>0.05</x:v>
      </x:c>
      <x:c r="K40" s="16" t="n">
        <x:v>64</x:v>
      </x:c>
      <x:c r="L40" s="11" t="str">
        <x:f>TEXT(B40,"mmm yyyy")</x:f>
        <x:v>Aug 2025</x:v>
      </x:c>
      <x:c r="M40" s="20" t="n">
        <x:f>K40/H40</x:f>
        <x:v>0.24615384615384617</x:v>
      </x:c>
      <x:c r="N40" s="22" t="n">
        <x:f>H40/I40</x:f>
        <x:v>52</x:v>
      </x:c>
      <x:c r="O40" s="11" t="str">
        <x:f>IF(J40&gt;=0.1,"High discount","Normal")</x:f>
        <x:v>Normal</x:v>
      </x:c>
    </x:row>
    <x:row r="41">
      <x:c r="A41" s="11" t="str">
        <x:v>ORD-1040</x:v>
      </x:c>
      <x:c r="B41" s="14" t="n">
        <x:v>45891</x:v>
      </x:c>
      <x:c r="C41" s="11" t="str">
        <x:v>WA</x:v>
      </x:c>
      <x:c r="D41" s="11" t="str">
        <x:v>Western Australia</x:v>
      </x:c>
      <x:c r="E41" s="11" t="str">
        <x:v>Corporate</x:v>
      </x:c>
      <x:c r="F41" s="11" t="str">
        <x:v>Office Supplies</x:v>
      </x:c>
      <x:c r="G41" s="11" t="str">
        <x:v>Printer Paper Bulk</x:v>
      </x:c>
      <x:c r="H41" s="16" t="n">
        <x:v>340</x:v>
      </x:c>
      <x:c r="I41" s="11" t="n">
        <x:v>30</x:v>
      </x:c>
      <x:c r="J41" s="18" t="n">
        <x:v>0</x:v>
      </x:c>
      <x:c r="K41" s="16" t="n">
        <x:v>92</x:v>
      </x:c>
      <x:c r="L41" s="11" t="str">
        <x:f>TEXT(B41,"mmm yyyy")</x:f>
        <x:v>Aug 2025</x:v>
      </x:c>
      <x:c r="M41" s="20" t="n">
        <x:f>K41/H41</x:f>
        <x:v>0.27058823529411763</x:v>
      </x:c>
      <x:c r="N41" s="22" t="n">
        <x:f>H41/I41</x:f>
        <x:v>11.333333333333334</x:v>
      </x:c>
      <x:c r="O41" s="11" t="str">
        <x:f>IF(J41&gt;=0.1,"High discount","Normal")</x:f>
        <x:v>Normal</x:v>
      </x:c>
    </x:row>
  </x:sheetData>
  <x:pageMargins left="0.7" right="0.7" top="0.75" bottom="0.75" header="0.3" footer="0.3"/>
  <x:tableParts count="1">
    <x:tablePart xmlns:r="http://schemas.openxmlformats.org/officeDocument/2006/relationships" r:id="R6058fe204e8142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10.25" hidden="0" customWidth="1"/>
    <x:col min="4" max="4" width="5.75" hidden="0" customWidth="1"/>
    <x:col min="5" max="5" width="4.380000114440918" hidden="0" customWidth="1"/>
    <x:col min="6" max="6" width="4.75" hidden="0" customWidth="1"/>
    <x:col min="8" max="8" width="13.630000114440918" hidden="0" customWidth="1"/>
    <x:col min="9" max="9" width="5.25" hidden="0" customWidth="1"/>
    <x:col min="10" max="10" width="4.75" hidden="0" customWidth="1"/>
    <x:col min="12" max="12" width="7.880000114440918" hidden="0" customWidth="1"/>
    <x:col min="13" max="13" width="4.380000114440918" hidden="0" customWidth="1"/>
    <x:col min="14" max="14" width="4.75" hidden="0" customWidth="1"/>
    <x:col min="16" max="16" width="15" hidden="0" customWidth="1"/>
    <x:col min="17" max="17" width="5.25" hidden="0" customWidth="1"/>
    <x:col min="18" max="18" width="5.75" hidden="0" customWidth="1"/>
  </x:cols>
  <x:sheetData>
    <x:row r="1">
      <x:c r="A1" s="5" t="str">
        <x:v>Metric</x:v>
      </x:c>
      <x:c r="B1" s="5" t="str">
        <x:v>Value</x:v>
      </x:c>
      <x:c r="D1" s="5" t="str">
        <x:v>Region</x:v>
      </x:c>
      <x:c r="E1" s="5" t="str">
        <x:v>Sales</x:v>
      </x:c>
      <x:c r="F1" s="5" t="str">
        <x:v>Profit</x:v>
      </x:c>
      <x:c r="H1" s="5" t="str">
        <x:v>Product Category</x:v>
      </x:c>
      <x:c r="I1" s="5" t="str">
        <x:v>Sales</x:v>
      </x:c>
      <x:c r="J1" s="5" t="str">
        <x:v>Profit</x:v>
      </x:c>
      <x:c r="L1" s="5" t="str">
        <x:v>Month</x:v>
      </x:c>
      <x:c r="M1" s="5" t="str">
        <x:v>Sales</x:v>
      </x:c>
      <x:c r="N1" s="5" t="str">
        <x:v>Profit</x:v>
      </x:c>
      <x:c r="P1" s="5" t="str">
        <x:v>Customer Segment</x:v>
      </x:c>
      <x:c r="Q1" s="5" t="str">
        <x:v>Sales</x:v>
      </x:c>
      <x:c r="R1" s="5" t="str">
        <x:v>Orders</x:v>
      </x:c>
    </x:row>
    <x:row r="2">
      <x:c r="A2" t="str">
        <x:v>Total Sales</x:v>
      </x:c>
      <x:c r="B2" s="24" t="n">
        <x:f>SUM(Sales_Data!H2:H41)</x:f>
        <x:v>28545</x:v>
      </x:c>
      <x:c r="D2" t="str">
        <x:v>NSW</x:v>
      </x:c>
      <x:c r="E2" s="24" t="n">
        <x:f>SUMIF(Sales_Data!C:C,D2,Sales_Data!H:H)</x:f>
        <x:v>9690</x:v>
      </x:c>
      <x:c r="F2" s="24" t="n">
        <x:f>SUMIF(Sales_Data!C:C,D2,Sales_Data!K:K)</x:f>
        <x:v>1676</x:v>
      </x:c>
      <x:c r="H2" t="str">
        <x:v>Technology</x:v>
      </x:c>
      <x:c r="I2" s="24" t="n">
        <x:f>SUMIF(Sales_Data!F:F,H2,Sales_Data!H:H)</x:f>
        <x:v>17030</x:v>
      </x:c>
      <x:c r="J2" s="24" t="n">
        <x:f>SUMIF(Sales_Data!F:F,H2,Sales_Data!K:K)</x:f>
        <x:v>3325</x:v>
      </x:c>
      <x:c r="L2" t="str">
        <x:v>Jan 2025</x:v>
      </x:c>
      <x:c r="M2" s="24" t="n">
        <x:f>SUMIF(Sales_Data!L:L,L2,Sales_Data!H:H)</x:f>
        <x:v>2600</x:v>
      </x:c>
      <x:c r="N2" s="24" t="n">
        <x:f>SUMIF(Sales_Data!L:L,L2,Sales_Data!K:K)</x:f>
        <x:v>465</x:v>
      </x:c>
      <x:c r="P2" t="str">
        <x:v>Consumer</x:v>
      </x:c>
      <x:c r="Q2" s="24" t="n">
        <x:f>SUMIF(Sales_Data!E:E,P2,Sales_Data!H:H)</x:f>
        <x:v>5895</x:v>
      </x:c>
      <x:c r="R2" t="n">
        <x:f>COUNTIF(Sales_Data!E:E,P2)</x:f>
        <x:v>15</x:v>
      </x:c>
    </x:row>
    <x:row r="3">
      <x:c r="A3" t="str">
        <x:v>Total Profit</x:v>
      </x:c>
      <x:c r="B3" s="24" t="n">
        <x:f>SUM(Sales_Data!K2:K41)</x:f>
        <x:v>5326</x:v>
      </x:c>
      <x:c r="D3" t="str">
        <x:v>VIC</x:v>
      </x:c>
      <x:c r="E3" s="24" t="n">
        <x:f>SUMIF(Sales_Data!C:C,D3,Sales_Data!H:H)</x:f>
        <x:v>4420</x:v>
      </x:c>
      <x:c r="F3" s="24" t="n">
        <x:f>SUMIF(Sales_Data!C:C,D3,Sales_Data!K:K)</x:f>
        <x:v>931</x:v>
      </x:c>
      <x:c r="H3" t="str">
        <x:v>Furniture</x:v>
      </x:c>
      <x:c r="I3" s="24" t="n">
        <x:f>SUMIF(Sales_Data!F:F,H3,Sales_Data!H:H)</x:f>
        <x:v>9670</x:v>
      </x:c>
      <x:c r="J3" s="24" t="n">
        <x:f>SUMIF(Sales_Data!F:F,H3,Sales_Data!K:K)</x:f>
        <x:v>1523</x:v>
      </x:c>
      <x:c r="L3" t="str">
        <x:v>Feb 2025</x:v>
      </x:c>
      <x:c r="M3" s="24" t="n">
        <x:f>SUMIF(Sales_Data!L:L,L3,Sales_Data!H:H)</x:f>
        <x:v>2195</x:v>
      </x:c>
      <x:c r="N3" s="24" t="n">
        <x:f>SUMIF(Sales_Data!L:L,L3,Sales_Data!K:K)</x:f>
        <x:v>415</x:v>
      </x:c>
      <x:c r="P3" t="str">
        <x:v>Corporate</x:v>
      </x:c>
      <x:c r="Q3" s="24" t="n">
        <x:f>SUMIF(Sales_Data!E:E,P3,Sales_Data!H:H)</x:f>
        <x:v>17105</x:v>
      </x:c>
      <x:c r="R3" t="n">
        <x:f>COUNTIF(Sales_Data!E:E,P3)</x:f>
        <x:v>14</x:v>
      </x:c>
    </x:row>
    <x:row r="4">
      <x:c r="A4" t="str">
        <x:v>Profit Margin</x:v>
      </x:c>
      <x:c r="B4" s="26" t="n">
        <x:f>B3/B2</x:f>
        <x:v>0.18658258889472762</x:v>
      </x:c>
      <x:c r="D4" t="str">
        <x:v>QLD</x:v>
      </x:c>
      <x:c r="E4" s="24" t="n">
        <x:f>SUMIF(Sales_Data!C:C,D4,Sales_Data!H:H)</x:f>
        <x:v>4360</x:v>
      </x:c>
      <x:c r="F4" s="24" t="n">
        <x:f>SUMIF(Sales_Data!C:C,D4,Sales_Data!K:K)</x:f>
        <x:v>810</x:v>
      </x:c>
      <x:c r="H4" t="str">
        <x:v>Office Supplies</x:v>
      </x:c>
      <x:c r="I4" s="24" t="n">
        <x:f>SUMIF(Sales_Data!F:F,H4,Sales_Data!H:H)</x:f>
        <x:v>1845</x:v>
      </x:c>
      <x:c r="J4" s="24" t="n">
        <x:f>SUMIF(Sales_Data!F:F,H4,Sales_Data!K:K)</x:f>
        <x:v>478</x:v>
      </x:c>
      <x:c r="L4" t="str">
        <x:v>Mar 2025</x:v>
      </x:c>
      <x:c r="M4" s="24" t="n">
        <x:f>SUMIF(Sales_Data!L:L,L4,Sales_Data!H:H)</x:f>
        <x:v>3055</x:v>
      </x:c>
      <x:c r="N4" s="24" t="n">
        <x:f>SUMIF(Sales_Data!L:L,L4,Sales_Data!K:K)</x:f>
        <x:v>634</x:v>
      </x:c>
      <x:c r="P4" t="str">
        <x:v>Small Business</x:v>
      </x:c>
      <x:c r="Q4" s="24" t="n">
        <x:f>SUMIF(Sales_Data!E:E,P4,Sales_Data!H:H)</x:f>
        <x:v>5545</x:v>
      </x:c>
      <x:c r="R4" t="n">
        <x:f>COUNTIF(Sales_Data!E:E,P4)</x:f>
        <x:v>11</x:v>
      </x:c>
    </x:row>
    <x:row r="5">
      <x:c r="A5" t="str">
        <x:v>Total Orders</x:v>
      </x:c>
      <x:c r="B5" t="n">
        <x:f>COUNTA(Sales_Data!A2:A41)</x:f>
        <x:v>40</x:v>
      </x:c>
      <x:c r="D5" t="str">
        <x:v>SA</x:v>
      </x:c>
      <x:c r="E5" s="24" t="n">
        <x:f>SUMIF(Sales_Data!C:C,D5,Sales_Data!H:H)</x:f>
        <x:v>1255</x:v>
      </x:c>
      <x:c r="F5" s="24" t="n">
        <x:f>SUMIF(Sales_Data!C:C,D5,Sales_Data!K:K)</x:f>
        <x:v>238</x:v>
      </x:c>
      <x:c r="L5" t="str">
        <x:v>Apr 2025</x:v>
      </x:c>
      <x:c r="M5" s="24" t="n">
        <x:f>SUMIF(Sales_Data!L:L,L5,Sales_Data!H:H)</x:f>
        <x:v>5370</x:v>
      </x:c>
      <x:c r="N5" s="24" t="n">
        <x:f>SUMIF(Sales_Data!L:L,L5,Sales_Data!K:K)</x:f>
        <x:v>933</x:v>
      </x:c>
    </x:row>
    <x:row r="6">
      <x:c r="A6" t="str">
        <x:v>Total Quantity</x:v>
      </x:c>
      <x:c r="B6" t="n">
        <x:f>SUM(Sales_Data!I2:I41)</x:f>
        <x:v>281</x:v>
      </x:c>
      <x:c r="D6" t="str">
        <x:v>WA</x:v>
      </x:c>
      <x:c r="E6" s="24" t="n">
        <x:f>SUMIF(Sales_Data!C:C,D6,Sales_Data!H:H)</x:f>
        <x:v>8820</x:v>
      </x:c>
      <x:c r="F6" s="24" t="n">
        <x:f>SUMIF(Sales_Data!C:C,D6,Sales_Data!K:K)</x:f>
        <x:v>1671</x:v>
      </x:c>
      <x:c r="L6" t="str">
        <x:v>May 2025</x:v>
      </x:c>
      <x:c r="M6" s="24" t="n">
        <x:f>SUMIF(Sales_Data!L:L,L6,Sales_Data!H:H)</x:f>
        <x:v>3080</x:v>
      </x:c>
      <x:c r="N6" s="24" t="n">
        <x:f>SUMIF(Sales_Data!L:L,L6,Sales_Data!K:K)</x:f>
        <x:v>580</x:v>
      </x:c>
    </x:row>
    <x:row r="7">
      <x:c r="A7" t="str">
        <x:v>Average Order Value</x:v>
      </x:c>
      <x:c r="B7" s="28" t="n">
        <x:f>B2/B5</x:f>
        <x:v>713.625</x:v>
      </x:c>
      <x:c r="L7" t="str">
        <x:v>Jun 2025</x:v>
      </x:c>
      <x:c r="M7" s="24" t="n">
        <x:f>SUMIF(Sales_Data!L:L,L7,Sales_Data!H:H)</x:f>
        <x:v>6160</x:v>
      </x:c>
      <x:c r="N7" s="24" t="n">
        <x:f>SUMIF(Sales_Data!L:L,L7,Sales_Data!K:K)</x:f>
        <x:v>1053</x:v>
      </x:c>
    </x:row>
    <x:row r="8">
      <x:c r="A8" t="str">
        <x:v>Average Discount</x:v>
      </x:c>
      <x:c r="B8" s="26" t="n">
        <x:f>AVERAGE(Sales_Data!J2:J41)</x:f>
        <x:v>0.05725000000000001</x:v>
      </x:c>
      <x:c r="L8" t="str">
        <x:v>Jul 2025</x:v>
      </x:c>
      <x:c r="M8" s="24" t="n">
        <x:f>SUMIF(Sales_Data!L:L,L8,Sales_Data!H:H)</x:f>
        <x:v>2875</x:v>
      </x:c>
      <x:c r="N8" s="24" t="n">
        <x:f>SUMIF(Sales_Data!L:L,L8,Sales_Data!K:K)</x:f>
        <x:v>593</x:v>
      </x:c>
    </x:row>
    <x:row r="9">
      <x:c r="L9" t="str">
        <x:v>Aug 2025</x:v>
      </x:c>
      <x:c r="M9" s="24" t="n">
        <x:f>SUMIF(Sales_Data!L:L,L9,Sales_Data!H:H)</x:f>
        <x:v>3210</x:v>
      </x:c>
      <x:c r="N9" s="24" t="n">
        <x:f>SUMIF(Sales_Data!L:L,L9,Sales_Data!K:K)</x:f>
        <x:v>653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48.380001068115234" hidden="0" customWidth="1"/>
  </x:cols>
  <x:sheetData>
    <x:row r="1">
      <x:c r="A1" s="5" t="str">
        <x:v>Field</x:v>
      </x:c>
      <x:c r="B1" s="5" t="str">
        <x:v>Description</x:v>
      </x:c>
    </x:row>
    <x:row r="2">
      <x:c r="A2" t="str">
        <x:v>Order ID</x:v>
      </x:c>
      <x:c r="B2" t="str">
        <x:v>Unique order reference</x:v>
      </x:c>
    </x:row>
    <x:row r="3">
      <x:c r="A3" t="str">
        <x:v>Order Date</x:v>
      </x:c>
      <x:c r="B3" t="str">
        <x:v>Date the order was placed</x:v>
      </x:c>
    </x:row>
    <x:row r="4">
      <x:c r="A4" t="str">
        <x:v>Region</x:v>
      </x:c>
      <x:c r="B4" t="str">
        <x:v>Australian region/state abbreviation used for dashboard filtering</x:v>
      </x:c>
    </x:row>
    <x:row r="5">
      <x:c r="A5" t="str">
        <x:v>Customer Segment</x:v>
      </x:c>
      <x:c r="B5" t="str">
        <x:v>Customer group for reporting</x:v>
      </x:c>
    </x:row>
    <x:row r="6">
      <x:c r="A6" t="str">
        <x:v>Product Category</x:v>
      </x:c>
      <x:c r="B6" t="str">
        <x:v>Broad product group</x:v>
      </x:c>
    </x:row>
    <x:row r="7">
      <x:c r="A7" t="str">
        <x:v>Sales</x:v>
      </x:c>
      <x:c r="B7" t="str">
        <x:v>Revenue amount for the order line</x:v>
      </x:c>
    </x:row>
    <x:row r="8">
      <x:c r="A8" t="str">
        <x:v>Quantity</x:v>
      </x:c>
      <x:c r="B8" t="str">
        <x:v>Units sold</x:v>
      </x:c>
    </x:row>
    <x:row r="9">
      <x:c r="A9" t="str">
        <x:v>Discount</x:v>
      </x:c>
      <x:c r="B9" t="str">
        <x:v>Discount applied to the transaction</x:v>
      </x:c>
    </x:row>
    <x:row r="10">
      <x:c r="A10" t="str">
        <x:v>Profit</x:v>
      </x:c>
      <x:c r="B10" t="str">
        <x:v>Profit contribution</x:v>
      </x:c>
    </x:row>
    <x:row r="11">
      <x:c r="A11" t="str">
        <x:v>Month</x:v>
      </x:c>
      <x:c r="B11" t="str">
        <x:v>Helper field used for monthly reporting</x:v>
      </x:c>
    </x:row>
    <x:row r="12">
      <x:c r="A12" t="str">
        <x:v>Profit Margin</x:v>
      </x:c>
      <x:c r="B12" t="str">
        <x:v>Profit divided by sales</x:v>
      </x:c>
    </x:row>
    <x:row r="13">
      <x:c r="A13" t="str">
        <x:v>Average Order Value</x:v>
      </x:c>
      <x:c r="B13" t="str">
        <x:v>Sales divided by quantity for order-line level review</x:v>
      </x:c>
    </x:row>
    <x:row r="14">
      <x:c r="A14" t="str">
        <x:v>Discount Flag</x:v>
      </x:c>
      <x:c r="B14" t="str">
        <x:v>Business rule identifying high-discount orders</x:v>
      </x:c>
    </x:row>
  </x:sheetData>
  <x:pageMargins left="0.7" right="0.7" top="0.75" bottom="0.75" header="0.3" footer="0.3"/>
</x:worksheet>
</file>